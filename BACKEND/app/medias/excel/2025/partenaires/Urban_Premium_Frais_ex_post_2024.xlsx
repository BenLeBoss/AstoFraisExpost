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.coppensbiou\Documents\Documentation Dev Astoria\FraisExPost Coût\Fichiers EMT (fournisseurs)\2024\"/>
    </mc:Choice>
  </mc:AlternateContent>
  <xr:revisionPtr revIDLastSave="0" documentId="13_ncr:1_{3CD905EA-DDB6-4FE9-92E8-9AAA9337F32E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Feuil2" sheetId="9" r:id="rId1"/>
    <sheet name="mr_Feuil2" sheetId="10" state="veryHidden" r:id="rId2"/>
  </sheets>
  <definedNames>
    <definedName name="_xlnm._FilterDatabase" localSheetId="0" hidden="1">Feuil2!$A$1:$AT$18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8" i="9" l="1"/>
  <c r="AI18" i="9"/>
  <c r="AK16" i="9" l="1"/>
  <c r="AK14" i="9" l="1"/>
  <c r="AK13" i="9" l="1"/>
  <c r="AK10" i="9" l="1"/>
  <c r="AI10" i="9"/>
  <c r="AK8" i="9" l="1"/>
  <c r="AK7" i="9"/>
  <c r="AK6" i="9"/>
  <c r="AK5" i="9"/>
  <c r="AK4" i="9"/>
  <c r="AK3" i="9"/>
  <c r="AI8" i="9"/>
  <c r="AI7" i="9"/>
  <c r="AI6" i="9"/>
  <c r="AI5" i="9"/>
  <c r="AI4" i="9"/>
  <c r="AI3" i="9"/>
  <c r="AK17" i="9" l="1"/>
  <c r="AK15" i="9"/>
  <c r="AK12" i="9"/>
  <c r="AI17" i="9"/>
  <c r="AI16" i="9"/>
  <c r="AI15" i="9"/>
  <c r="AI14" i="9"/>
  <c r="AI13" i="9"/>
  <c r="AI12" i="9"/>
  <c r="AK11" i="9" l="1"/>
  <c r="AI11" i="9"/>
  <c r="AK9" i="9" l="1"/>
  <c r="AI9" i="9"/>
  <c r="V3" i="9" l="1"/>
  <c r="AS3" i="9" s="1"/>
  <c r="AT3" i="9" s="1"/>
  <c r="Z3" i="9"/>
  <c r="AB3" i="9"/>
  <c r="AC3" i="9"/>
  <c r="AD3" i="9"/>
  <c r="AE3" i="9"/>
  <c r="AF3" i="9"/>
  <c r="AG3" i="9"/>
  <c r="V4" i="9"/>
  <c r="AS4" i="9" s="1"/>
  <c r="AT4" i="9" s="1"/>
  <c r="Z4" i="9"/>
  <c r="AB4" i="9"/>
  <c r="AC4" i="9"/>
  <c r="AD4" i="9"/>
  <c r="AE4" i="9"/>
  <c r="AF4" i="9"/>
  <c r="AG4" i="9"/>
  <c r="V5" i="9"/>
  <c r="AS5" i="9" s="1"/>
  <c r="AT5" i="9" s="1"/>
  <c r="Z5" i="9"/>
  <c r="AB5" i="9"/>
  <c r="AC5" i="9"/>
  <c r="AD5" i="9"/>
  <c r="AE5" i="9"/>
  <c r="AF5" i="9"/>
  <c r="AG5" i="9"/>
  <c r="V6" i="9"/>
  <c r="AS6" i="9" s="1"/>
  <c r="AT6" i="9" s="1"/>
  <c r="Z6" i="9"/>
  <c r="AB6" i="9"/>
  <c r="AC6" i="9"/>
  <c r="AD6" i="9"/>
  <c r="AE6" i="9"/>
  <c r="AF6" i="9"/>
  <c r="AG6" i="9"/>
  <c r="V7" i="9"/>
  <c r="AS7" i="9" s="1"/>
  <c r="AT7" i="9" s="1"/>
  <c r="Z7" i="9"/>
  <c r="AB7" i="9"/>
  <c r="AC7" i="9"/>
  <c r="AD7" i="9"/>
  <c r="AE7" i="9"/>
  <c r="AF7" i="9"/>
  <c r="AG7" i="9"/>
  <c r="V8" i="9"/>
  <c r="AS8" i="9" s="1"/>
  <c r="AT8" i="9" s="1"/>
  <c r="Z8" i="9"/>
  <c r="AB8" i="9"/>
  <c r="AC8" i="9"/>
  <c r="AD8" i="9"/>
  <c r="AE8" i="9"/>
  <c r="AF8" i="9"/>
  <c r="AG8" i="9"/>
  <c r="V9" i="9"/>
  <c r="AS9" i="9" s="1"/>
  <c r="AT9" i="9" s="1"/>
  <c r="Z9" i="9"/>
  <c r="AB9" i="9"/>
  <c r="AC9" i="9"/>
  <c r="AD9" i="9"/>
  <c r="AE9" i="9"/>
  <c r="AF9" i="9"/>
  <c r="AG9" i="9"/>
  <c r="V10" i="9"/>
  <c r="AS10" i="9" s="1"/>
  <c r="AT10" i="9" s="1"/>
  <c r="Z10" i="9"/>
  <c r="AB10" i="9"/>
  <c r="AC10" i="9"/>
  <c r="AD10" i="9"/>
  <c r="AE10" i="9"/>
  <c r="AF10" i="9"/>
  <c r="AG10" i="9"/>
  <c r="V11" i="9"/>
  <c r="AS11" i="9" s="1"/>
  <c r="AT11" i="9" s="1"/>
  <c r="Z11" i="9"/>
  <c r="AB11" i="9"/>
  <c r="AC11" i="9"/>
  <c r="AD11" i="9"/>
  <c r="AE11" i="9"/>
  <c r="AF11" i="9"/>
  <c r="AG11" i="9"/>
  <c r="V12" i="9"/>
  <c r="AS12" i="9" s="1"/>
  <c r="AT12" i="9" s="1"/>
  <c r="Z12" i="9"/>
  <c r="AB12" i="9"/>
  <c r="AC12" i="9"/>
  <c r="AD12" i="9"/>
  <c r="AE12" i="9"/>
  <c r="AF12" i="9"/>
  <c r="AG12" i="9"/>
  <c r="V13" i="9"/>
  <c r="AS13" i="9" s="1"/>
  <c r="AT13" i="9" s="1"/>
  <c r="Z13" i="9"/>
  <c r="AB13" i="9"/>
  <c r="AC13" i="9"/>
  <c r="AD13" i="9"/>
  <c r="AE13" i="9"/>
  <c r="AF13" i="9"/>
  <c r="AG13" i="9"/>
  <c r="V14" i="9"/>
  <c r="AS14" i="9" s="1"/>
  <c r="AT14" i="9" s="1"/>
  <c r="Z14" i="9"/>
  <c r="AB14" i="9"/>
  <c r="AC14" i="9"/>
  <c r="AD14" i="9"/>
  <c r="AE14" i="9"/>
  <c r="AF14" i="9"/>
  <c r="AG14" i="9"/>
  <c r="V15" i="9"/>
  <c r="AS15" i="9" s="1"/>
  <c r="AT15" i="9" s="1"/>
  <c r="Z15" i="9"/>
  <c r="AB15" i="9"/>
  <c r="AC15" i="9"/>
  <c r="AD15" i="9"/>
  <c r="AE15" i="9"/>
  <c r="AF15" i="9"/>
  <c r="AG15" i="9"/>
  <c r="V16" i="9"/>
  <c r="AS16" i="9" s="1"/>
  <c r="AT16" i="9" s="1"/>
  <c r="Z16" i="9"/>
  <c r="AB16" i="9"/>
  <c r="AC16" i="9"/>
  <c r="AD16" i="9"/>
  <c r="AE16" i="9"/>
  <c r="AF16" i="9"/>
  <c r="AG16" i="9"/>
  <c r="V17" i="9"/>
  <c r="AS17" i="9" s="1"/>
  <c r="AT17" i="9" s="1"/>
  <c r="Z17" i="9"/>
  <c r="AB17" i="9"/>
  <c r="AC17" i="9"/>
  <c r="AD17" i="9"/>
  <c r="AE17" i="9"/>
  <c r="AF17" i="9"/>
  <c r="AG17" i="9"/>
  <c r="V18" i="9"/>
  <c r="AS18" i="9" s="1"/>
  <c r="AT18" i="9" s="1"/>
  <c r="Z18" i="9"/>
  <c r="AB18" i="9"/>
  <c r="AC18" i="9"/>
  <c r="AD18" i="9"/>
  <c r="AE18" i="9"/>
  <c r="AF18" i="9"/>
  <c r="AG18" i="9"/>
  <c r="AK2" i="9"/>
  <c r="AI2" i="9"/>
  <c r="AO18" i="9" l="1"/>
  <c r="AO16" i="9"/>
  <c r="AO14" i="9"/>
  <c r="AO7" i="9"/>
  <c r="AO13" i="9"/>
  <c r="AO10" i="9"/>
  <c r="AO8" i="9"/>
  <c r="AO6" i="9"/>
  <c r="AO5" i="9"/>
  <c r="AO4" i="9"/>
  <c r="AO3" i="9"/>
  <c r="AO17" i="9"/>
  <c r="AO15" i="9"/>
  <c r="AO12" i="9"/>
  <c r="AO11" i="9"/>
  <c r="AO9" i="9"/>
  <c r="AQ18" i="9" l="1"/>
  <c r="AR18" i="9" s="1"/>
  <c r="AP18" i="9"/>
  <c r="AQ16" i="9"/>
  <c r="AR16" i="9" s="1"/>
  <c r="AP16" i="9"/>
  <c r="AQ14" i="9"/>
  <c r="AR14" i="9" s="1"/>
  <c r="AP14" i="9"/>
  <c r="AQ7" i="9"/>
  <c r="AR7" i="9" s="1"/>
  <c r="AP7" i="9"/>
  <c r="AQ13" i="9"/>
  <c r="AR13" i="9" s="1"/>
  <c r="AP13" i="9"/>
  <c r="AQ10" i="9"/>
  <c r="AR10" i="9" s="1"/>
  <c r="AP10" i="9"/>
  <c r="AQ3" i="9"/>
  <c r="AR3" i="9" s="1"/>
  <c r="AP3" i="9"/>
  <c r="AQ4" i="9"/>
  <c r="AR4" i="9" s="1"/>
  <c r="AP4" i="9"/>
  <c r="AQ5" i="9"/>
  <c r="AR5" i="9" s="1"/>
  <c r="AP5" i="9"/>
  <c r="AQ6" i="9"/>
  <c r="AR6" i="9" s="1"/>
  <c r="AP6" i="9"/>
  <c r="AQ8" i="9"/>
  <c r="AR8" i="9" s="1"/>
  <c r="AP8" i="9"/>
  <c r="AQ12" i="9"/>
  <c r="AR12" i="9" s="1"/>
  <c r="AP12" i="9"/>
  <c r="AQ15" i="9"/>
  <c r="AR15" i="9" s="1"/>
  <c r="AP15" i="9"/>
  <c r="AQ17" i="9"/>
  <c r="AR17" i="9" s="1"/>
  <c r="AP17" i="9"/>
  <c r="AQ11" i="9"/>
  <c r="AR11" i="9" s="1"/>
  <c r="AP11" i="9"/>
  <c r="AQ9" i="9"/>
  <c r="AR9" i="9" s="1"/>
  <c r="AP9" i="9"/>
  <c r="AG2" i="9" l="1"/>
  <c r="Z2" i="9"/>
  <c r="AO2" i="9" s="1"/>
  <c r="AP2" i="9" l="1"/>
  <c r="AD2" i="9"/>
  <c r="AE2" i="9" s="1"/>
  <c r="V2" i="9"/>
  <c r="AS2" i="9" s="1"/>
  <c r="AT2" i="9" s="1"/>
  <c r="AL6" i="10" l="1"/>
  <c r="AJ6" i="10"/>
  <c r="AH6" i="10"/>
  <c r="AG6" i="10"/>
  <c r="AA6" i="10"/>
  <c r="AP6" i="10" s="1"/>
  <c r="AQ6" i="10" s="1"/>
  <c r="W6" i="10"/>
  <c r="AT6" i="10" s="1"/>
  <c r="AU6" i="10" s="1"/>
  <c r="AL5" i="10"/>
  <c r="AJ5" i="10"/>
  <c r="AH5" i="10"/>
  <c r="AG5" i="10"/>
  <c r="AA5" i="10"/>
  <c r="AP5" i="10" s="1"/>
  <c r="AQ5" i="10" s="1"/>
  <c r="W5" i="10"/>
  <c r="AT5" i="10" s="1"/>
  <c r="AU5" i="10" s="1"/>
  <c r="AL4" i="10"/>
  <c r="AJ4" i="10"/>
  <c r="AH4" i="10"/>
  <c r="AG4" i="10"/>
  <c r="AA4" i="10"/>
  <c r="AP4" i="10" s="1"/>
  <c r="AQ4" i="10" s="1"/>
  <c r="W4" i="10"/>
  <c r="AT4" i="10" s="1"/>
  <c r="AU4" i="10" s="1"/>
  <c r="AL3" i="10"/>
  <c r="AJ3" i="10"/>
  <c r="AH3" i="10"/>
  <c r="AG3" i="10"/>
  <c r="AA3" i="10"/>
  <c r="AP3" i="10" s="1"/>
  <c r="AQ3" i="10" s="1"/>
  <c r="W3" i="10"/>
  <c r="AT3" i="10" s="1"/>
  <c r="AU3" i="10" s="1"/>
  <c r="AL2" i="10"/>
  <c r="AJ2" i="10"/>
  <c r="AH2" i="10"/>
  <c r="AG2" i="10"/>
  <c r="AA2" i="10"/>
  <c r="AP2" i="10" s="1"/>
  <c r="AQ2" i="10" s="1"/>
  <c r="W2" i="10"/>
  <c r="AT2" i="10" s="1"/>
  <c r="AU2" i="10" s="1"/>
  <c r="AC2" i="10" l="1"/>
  <c r="AE2" i="10"/>
  <c r="AF2" i="10" s="1"/>
  <c r="AC3" i="10"/>
  <c r="AE3" i="10"/>
  <c r="AF3" i="10" s="1"/>
  <c r="AC4" i="10"/>
  <c r="AE4" i="10"/>
  <c r="AF4" i="10" s="1"/>
  <c r="AC5" i="10"/>
  <c r="AE5" i="10"/>
  <c r="AF5" i="10" s="1"/>
  <c r="AC6" i="10"/>
  <c r="AE6" i="10"/>
  <c r="AF6" i="10" s="1"/>
  <c r="AB2" i="9"/>
  <c r="AQ2" i="9" s="1"/>
  <c r="AR2" i="9" s="1"/>
  <c r="AC2" i="9" l="1"/>
  <c r="AF2" i="9"/>
  <c r="AD6" i="10"/>
  <c r="AR6" i="10"/>
  <c r="AS6" i="10" s="1"/>
  <c r="AD4" i="10"/>
  <c r="AR4" i="10"/>
  <c r="AS4" i="10" s="1"/>
  <c r="AD3" i="10"/>
  <c r="AR3" i="10"/>
  <c r="AS3" i="10" s="1"/>
  <c r="AD5" i="10"/>
  <c r="AR5" i="10"/>
  <c r="AS5" i="10" s="1"/>
  <c r="AD2" i="10"/>
  <c r="AR2" i="10"/>
  <c r="AS2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urb1u001 urb1u001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MyReport5.9.0.0
Version:7.2.1.0
EtatType:etListing
Largeur:15
Hauteur:21
LargeurLigne:0
HauteurColonne:0
TitreList:Id=Aucune
IsAFormater:-1
IsAffecterMasque:-1
NombreRupture:0
CountFiltreRupture:0
HasRupture:0
HasListe:0
Projet:Unicia_Prod
IsHorodate:0
IsHorodateMax:-1
IsAutoFit:-1
IsListeAvecMacro:0
NombreLignePourCombobox:1
IsMajValeurAuto:-1
NbreLigneMaxFormatZebre:100
IsAjoutSupprLigne:0
IsAjoutSupprColonne:0
DispositionFiltreRupture:dfrLibelleSurValeur
IsMaitre:0
IsDetail:0
IsMultiReport:-1
~SousReport0:MyReport5.9.0.0#10Version:7.2.1.0#10#10EtatType:etListing#10NombreRupture:0#10CountFiltreRupture:0#10HasRupture:0#10HasListe:0#10#10Projet:Unicia_Prod#10Dossier:Unicia#10Modele:Unicia/Clients#10#10IsHorodate:0#10IsHorodateMax:-1#10IsListeAvecMacro:0#10IsMajValeurAuto:-1#10IsMultiReport:0#10IsSousReport:-1#10Nom:Report1#10Table:IsSelected=False,TailleHeight=0,IsReduit=0,Haut=20,Gauche=20,Hauteur=176,Largeur=100#10#10IsExecuterAvecGraphe:0#10DistanceHauteurRupture:2#10DistanceLargeurRupture:1#10IsDistinct:0#10IsAllAAfficher:0#10#10~~ChampListingList:*"Nom=Code client","Libelle=Code client",NomSQL=CCODE_,Fonction=fListing,Tri=tAucun,Agregation=aAucune,Masque=@,HasZoneListing=0,IsLibelleDynamique=-1*#10Nom=Titre,Libelle=Titre,NomSQL=CTITRE_,Fonction=fListing,Tri=tAucun,Agregation=aAucune,Masque=@,HasZoneListing=0,IsLibelleDynamique=-1#10*"Nom=Nom client","Libelle=Nom client",NomSQL=CNOM_,Fonction=fListing,Tri=tAucun,Agregation=aAucune,Masque=@,HasZoneListing=0,IsLibelleDynamique=-1*#10Nom=Prénom,Libelle=Prénom,NomSQL=CPRENOM_,Fonction=fListing,Tri=tAucun,Agregation=aAucune,Masque=@,HasZoneListing=0,IsLibelleDynamique=-1#10*"Nom=Date naissance","Libelle=Date naissance",NomSQL=CDATE_NAIS_,Fonction=fListing,Tri=tAucun,Agregation=aAucune,Masque=m/d/yyyy,HasZoneListing=0,IsLibelleDynamique=-1*#10*"Nom=Adresse 1 domicile","Libelle=Adresse 1 domicile",NomSQL=DOM_ADD1,Fonction=fListing,Tri=tAucun,Agregation=aAucune,Masque=@,HasZoneListing=0,IsLibelleDynamique=-1*#10*"Nom=Adresse 2 domicile","Libelle=Adresse 2 domicile",NomSQL=DOM_ADD2,Fonction=fListing,Tri=tAucun,Agregation=aAucune,Masque=@,HasZoneListing=0,IsLibelleDynamique=-1*#10*"Nom=Adresse 3 domicile","Libelle=Adresse 3 domicile",NomSQL=DOM_ADD3,Fonction=fListing,Tri=tAucun,Agregation=aAucune,Masque=@,HasZoneListing=0,IsLibelleDynamique=-1*#10*"Nom=CP domicile","Libelle=CP domicile",NomSQL=CDOM_CP_,Fonction=fListing,Tri=tAucun,Agregation=aAucune,Masque=@,HasZoneListing=0,IsLibelleDynamique=-1*#10*"Nom=Ville domicile","Libelle=Ville domicile",NomSQL=CDOM_VILLE_,Fonction=fListing,Tri=tAucun,Agregation=aAucune,Masque=@,HasZoneListing=0,IsLibelleDynamique=-1*#10Nom=Agent,Libelle=Agent,NomSQL=CAGENT_,Fonction=fListing,Tri=tAucun,Agregation=aAucune,Masque=@,HasZoneListing=0,IsLibelleDynamique=-1~~#10#10#10FiltreList:TmrFiltreReportGroupe,IsNot=0,Nom=Racine,OperateurLogique=opEt#10#10FiltreHaving:TmrFiltreReportGroupe,IsNot=0,Nom=Racine,OperateurLogique=opEt#10~
~SousReport1:MyReport5.9.0.0#10Version:7.2.1.0#10#10EtatType:etListing#10NombreRupture:0#10CountFiltreRupture:0#10HasRupture:0#10HasListe:0#10#10Projet:Unicia_Prod#10Dossier:Unicia#10Modele:Unicia/Agents#10#10IsHorodate:0#10IsHorodateMax:-1#10IsListeAvecMacro:0#10IsMajValeurAuto:-1#10IsMultiReport:0#10IsSousReport:-1#10Nom:Report2#10Table:IsSelected=True,TailleHeight=0,IsReduit=0,Haut=180,Gauche=186,Hauteur=50,Largeur=100#10#10IsExecuterAvecGraphe:0#10DistanceHauteurRupture:2#10DistanceLargeurRupture:1#10IsDistinct:0#10IsAllAAfficher:0#10#10~~ChampListingList:Nom=Code,Libelle=Code,NomSQL=AGCODE,Fonction=fListing,Tri=tAucun,Agregation=aAucune,Masque=@,HasZoneListing=0,IsLibelleDynamique=-1#10Nom=Nom,Libelle=Nom,NomSQL=AGNOM,Fonction=fListing,Tri=tAucun,Agregation=aAucune,Masque=@,HasZoneListing=0,IsLibelleDynamique=-1~~#10#10#10FiltreList:TmrFiltreReportGroupe,IsNot=0,Nom=Racine,OperateurLogique=opEt#10#10FiltreHaving:TmrFiltreReportGroupe,IsNot=0,Nom=Racine,OperateurLogique=opEt#10~
~SousReport2:MyReport5.9.0.0#10Version:7.2.1.0#10#10EtatType:etListing#10NombreRupture:0#10CountFiltreRupture:0#10HasRupture:0#10HasListe:0#10#10Projet:Unicia_Prod#10Dossier:Unicia#10Modele:Unicia/Mouvements#10#10IsHorodate:0#10IsHorodateMax:-1#10IsListeAvecMacro:0#10IsMajValeurAuto:-1#10IsMultiReport:0#10IsSousReport:-1#10Nom:Report3#10Table:IsSelected=False,TailleHeight=0,IsReduit=0,Haut=42,Gauche=275,Hauteur=92,Largeur=100#10#10IsExecuterAvecGraphe:0#10DistanceHauteurRupture:2#10DistanceLargeurRupture:1#10IsDistinct:0#10IsAllAAfficher:0#10#10~~ChampListingList:Nom=Libellé,Libelle=Libellé,NomSQL=PRNOM,Fonction=fListing,Tri=tAucun,Agregation=aAucune,Masque=@,HasZoneListing=0,IsLibelleDynamique=-1#10*"Nom=Nb part","Libelle=Nb part",NomSQL=QUANTITE,Fonction=fListing,Tri=tAucun,Agregation=aSomme,"Masque=#,##0",HasZoneListing=0,IsLibelleDynamique=-1*#10*"Nom=Date de souscription","Libelle=Date de souscription",NomSQL=DSOUSCRI,Fonction=fListing,Tri=tAucun,Agregation=aAucune,"Masque=m/d/yyyy h:mm",HasZoneListing=0,IsLibelleDynamique=-1*#10Nom=Souscripteur,Libelle=Souscripteur,NomSQL=SOUSCRI,Fonction=fListing,Tri=tAucun,Agregation=aAucune,Masque=@,HasZoneListing=0,IsLibelleDynamique=-1#10*"Nom=Type propriétaire","Libelle=Type propriétaire",NomSQL=TYPEPROPRIETAIRE,Fonction=fListing,Tri=tAucun,Agregation=aAucune,Masque=@,HasZoneListing=0,IsLibelleDynamique=-1*~~#10#10#10FiltreList:TmrFiltreReportGroupe,IsNot=0,Nom=Racine,OperateurLogique=opEt#10#10FiltreHaving:TmrFiltreReportGroupe,IsNot=0,Nom=Racine,OperateurLogique=opEt#10~
TmrLienVirtuelList:"mrTable1=Report1,mrTable2=Report3,mrChamp1=CCODE_,mrChamp2=SOUSCRI,mrTypeJointure=tjSimple,Couleur=0","mrTable1=Report2,mrTable2=Report1,mrChamp1=AGCODE,mrChamp2=CAGENT_,mrTypeJointure=tjSimple,Couleur=0"
IsNewLienSimple:-1
IsSousReport:0
IsExecuterAvecGraphe:0
DistanceHauteurRupture:2
DistanceLargeurRupture:1
IsAfficheLibelleListing:-1
IsDistinct:0
IsFiltreAuto:0
IsFormatZebre:0
IsZoneACreer:0
IsCreerZoneListing:0
IsLienACreer:0
IsAllAAfficher:0
~ChampListingList:*"Nom=Code client","Libelle=Code client",NomSQL=CCODE_,Fonction=fListing,Report=Report1,mrChampSource=CCODE_,Tri=tAucun,Agregation=aAucune,Masque=@,HasZoneListing=0,IsLibelleDynamique=-1*
Nom=Libellé,Libelle=Libellé,NomSQL=PRNOM,Fonction=fListing,Report=Report3,mrChampSource=PRNOM,Tri=tAucun,Agregation=aAucune,Masque=@,HasZoneListing=0,IsLibelleDynamique=-1
Nom=Nom,Libelle=Nom,NomSQL=AGNOM,Fonction=fListing,Report=Report2,mrChampSource=AGNOM,Tri=tAucun,Agregation=aAucune,Masque=@,HasZoneListing=0,IsLibelleDynamique=-1
Nom=Titre,Libelle=Titre,NomSQL=CTITRE_,Fonction=fListing,Report=Report1,mrChampSource=CTITRE_,Tri=tAucun,Agregation=aAucune,Masque=@,HasZoneListing=0,IsLibelleDynamique=-1
*"Nom=Nom client","Libelle=Nom client",NomSQL=CNOM_,Fonction=fListing,Report=Report1,mrChampSource=CNOM_,Tri=tAucun,Agregation=aAucune,Masque=@,HasZoneListing=0,IsLibelleDynamique=-1*
Nom=Prénom,Libelle=Prénom,NomSQL=CPRENOM_,Fonction=fListing,Report=Report1,mrChampSource=CPRENOM_,Tri=tAucun,Agregation=aAucune,Masque=@,HasZoneListing=0,IsLibelleDynamique=-1
*"Nom=Date naissance","Libelle=Date naissance",NomSQL=CDATE_NAIS_,Fonction=fListing,Report=Report1,mrChampSource=CDATE_NAIS_,Tri=tAucun,Agregation=aAucune,Masque=m/d/yyyy,HasZoneListing=0,IsLibelleDynamique=-1*
*"Nom=Adresse 1 domicile","Libelle=Adresse 1 domicile",NomSQL=DOM_ADD1,Fonction=fListing,Report=Report1,mrChampSource=DOM_ADD1,Tri=tAucun,Agregation=aAucune,Masque=@,HasZoneListing=0,IsLibelleDynamique=-1*
*"Nom=Adresse 2 domicile","Libelle=Adresse 2 domicile",NomSQL=DOM_ADD2,Fonction=fListing,Report=Report1,mrChampSource=DOM_ADD2,Tri=tAucun,Agregation=aAucune,Masque=@,HasZoneListing=0,IsLibelleDynamique=-1*
*"Nom=Adresse 3 domicile","Libelle=Adresse 3 domicile",NomSQL=DOM_ADD3,Fonction=fListing,Report=Report1,mrChampSource=DOM_ADD3,Tri=tAucun,Agregation=aAucune,Masque=@,HasZoneListing=0,IsLibelleDynamique=-1*
*"Nom=CP domicile","Libelle=CP domicile",NomSQL=CDOM_CP_,Fonction=fListing,Report=Report1,mrChampSource=CDOM_CP_,Tri=tAucun,Agregation=aAucune,Masque=@,HasZoneListing=0,IsLibelleDynamique=-1*
*"Nom=Ville domicile","Libelle=Ville domicile",NomSQL=CDOM_VILLE_,Fonction=fListing,Report=Report1,mrChampSource=CDOM_VILLE_,Tri=tAucun,Agregation=aAucune,Masque=@,HasZoneListing=0,IsLibelleDynamique=-1*
*"Nom=Type propriétaire","Libelle=Type propriétaire",NomSQL=TYPEPROPRIETAIRE,Fonction=fListing,Report=Report3,mrChampSource=TYPEPROPRIETAIRE,Tri=tAucun,Agregation=aAucune,Masque=@,HasZoneListing=0,IsLibelleDynamique=-1*
*"Nom=Date de souscription","Libelle=Date de souscription",NomSQL=DSOUSCRI,Fonction=fListing,Report=Report3,mrChampSource=DSOUSCRI,Tri=tAucun,Agregation=aAucune,"Masque=m/d/yyyy h:mm",HasZoneListing=0,IsLibelleDynamique=-1*
*"Nom=Nb part","Libelle=Nb part",NomSQL=QUANTITE,Fonction=fListing,Report=Report3,mrChampSource=QUANTITE,Tri=tAucun,Agregation=aSomme,"Masque=#,##0",HasZoneListing=0,IsLibelleDynamique=-1*~
~FiltreList:TmrFiltreReportGroupe,IsNot=0,Nom=Racine,OperateurLogique=opEt
*TmrFiltreReport,GroupeParent=Racine,IsNot=0,IsActif=-1,mrChamp=AGNOM,Agregation=aAucune,Operateur=opEgal,IsAvecEmpty=0,IsTenirComptePrecedent=-1,"Valeur1=""ASTORIA FINANCE          """,ChoixType=cValeur,"TexteRecherche=ASTORIA FINANCE","Libelle=Nom Egal à",IsAfficherFiltre=0*~
FiltreHaving:TmrFiltreReportGroupe,IsNot=0,Nom=Racine,OperateurLogique=opEt
FormatType:fMyReport
rnpLibelleListing:Horz=ahCentre,Vert=avCentre,Orientation=oHorizontale,Degre=0,RenvoiL=0,PNom=Arial,PTaille=8,PCouleur=16777215,Fond=8388608,Masque=General,IsBordureActive=-1,BordH=epbMoyenne,BordB=epbMoyenne,BordG=epbMoyenne,BordD=epbMoyenne,BordIV=epbFine,BordIH=epbFine
rnpLigne1Listing:Horz=ahStandard,Vert=avCentre,Orientation=oHorizontale,Degre=0,RenvoiL=0,PNom=Arial,PTaille=8,PCouleur=0,Fond=16777215,Masque=General,IsBordureActive=-1,BordH=epbMoyenne,BordB=epbMoyenne,BordG=epbMoyenne,BordD=epbMoyenne,BordIV=epbFine,BordIH=epbFine
rnpLigne2Listing:Horz=ahStandard,Vert=avCentre,Orientation=oHorizontale,Degre=0,RenvoiL=0,PNom=Arial,PTaille=8,PCouleur=0,Fond=13434879,Masque=General,IsBordureActive=0
rnpLibelleFiltreRupture:Horz=ahGauche,Vert=avCentre,Orientation=oHorizontale,Degre=0,RenvoiL=0,PNom=Arial,PTaille=8,PCouleur=0,Fond=-16777211,Masque=@,IsBordureActive=0
rnpValeurFiltreRupture:Horz=ahGauche,Vert=avCentre,Orientation=oHorizontale,Degre=0,RenvoiL=0,PNom=Arial,PTaille=8,PCouleur=0,Fond=-16777211,Masque=@,IsBordureActive=0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urb1u001 urb1u001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MyReport5.9.0.0
Version:7.2.1.0
EtatType:etListing
Largeur:15
Hauteur:2131
LargeurLigne:0
HauteurColonne:0
TitreList:Id=Aucune
IsAFormater:-1
IsAffecterMasque:-1
NombreRupture:0
CountFiltreRupture:0
HasRupture:0
HasListe:0
Projet:Unicia_Prod
IsHorodate:0
IsHorodateMax:-1
IsAutoFit:-1
IsListeAvecMacro:0
NombreLignePourCombobox:1
IsMajValeurAuto:-1
NbreLigneMaxFormatZebre:100
IsAjoutSupprLigne:0
IsAjoutSupprColonne:0
DispositionFiltreRupture:dfrLibelleSurValeur
IsMaitre:0
IsDetail:0
IsMultiReport:-1
~SousReport0:MyReport5.9.0.0#10Version:7.2.1.0#10#10EtatType:etListing#10NombreRupture:0#10CountFiltreRupture:0#10HasRupture:0#10HasListe:0#10#10Projet:Unicia_Prod#10Dossier:Unicia#10Modele:Unicia/Clients#10#10IsHorodate:0#10IsHorodateMax:-1#10IsListeAvecMacro:0#10IsMajValeurAuto:-1#10IsMultiReport:0#10IsSousReport:-1#10Nom:Report1#10Table:IsSelected=False,TailleHeight=0,IsReduit=0,Haut=20,Gauche=20,Hauteur=176,Largeur=100#10#10IsExecuterAvecGraphe:0#10DistanceHauteurRupture:2#10DistanceLargeurRupture:1#10IsDistinct:0#10IsAllAAfficher:0#10#10~~ChampListingList:*"Nom=Code client","Libelle=Code client",NomSQL=CCODE_,Fonction=fListing,Tri=tAucun,Agregation=aAucune,Masque=@,HasZoneListing=0,IsLibelleDynamique=-1*#10Nom=Titre,Libelle=Titre,NomSQL=CTITRE_,Fonction=fListing,Tri=tAucun,Agregation=aAucune,Masque=@,HasZoneListing=0,IsLibelleDynamique=-1#10*"Nom=Nom client","Libelle=Nom client",NomSQL=CNOM_,Fonction=fListing,Tri=tAucun,Agregation=aAucune,Masque=@,HasZoneListing=0,IsLibelleDynamique=-1*#10Nom=Prénom,Libelle=Prénom,NomSQL=CPRENOM_,Fonction=fListing,Tri=tAucun,Agregation=aAucune,Masque=@,HasZoneListing=0,IsLibelleDynamique=-1#10*"Nom=Date naissance","Libelle=Date naissance",NomSQL=CDATE_NAIS_,Fonction=fListing,Tri=tAucun,Agregation=aAucune,Masque=m/d/yyyy,HasZoneListing=0,IsLibelleDynamique=-1*#10*"Nom=Adresse 1 domicile","Libelle=Adresse 1 domicile",NomSQL=DOM_ADD1,Fonction=fListing,Tri=tAucun,Agregation=aAucune,Masque=@,HasZoneListing=0,IsLibelleDynamique=-1*#10*"Nom=Adresse 2 domicile","Libelle=Adresse 2 domicile",NomSQL=DOM_ADD2,Fonction=fListing,Tri=tAucun,Agregation=aAucune,Masque=@,HasZoneListing=0,IsLibelleDynamique=-1*#10*"Nom=Adresse 3 domicile","Libelle=Adresse 3 domicile",NomSQL=DOM_ADD3,Fonction=fListing,Tri=tAucun,Agregation=aAucune,Masque=@,HasZoneListing=0,IsLibelleDynamique=-1*#10*"Nom=CP domicile","Libelle=CP domicile",NomSQL=CDOM_CP_,Fonction=fListing,Tri=tAucun,Agregation=aAucune,Masque=@,HasZoneListing=0,IsLibelleDynamique=-1*#10*"Nom=Ville domicile","Libelle=Ville domicile",NomSQL=CDOM_VILLE_,Fonction=fListing,Tri=tAucun,Agregation=aAucune,Masque=@,HasZoneListing=0,IsLibelleDynamique=-1*#10Nom=Agent,Libelle=Agent,NomSQL=CAGENT_,Fonction=fListing,Tri=tAucun,Agregation=aAucune,Masque=@,HasZoneListing=0,IsLibelleDynamique=-1~~#10#10#10FiltreList:TmrFiltreReportGroupe,IsNot=0,Nom=Racine,OperateurLogique=opEt#10#10FiltreHaving:TmrFiltreReportGroupe,IsNot=0,Nom=Racine,OperateurLogique=opEt#10~
~SousReport1:MyReport5.9.0.0#10Version:7.2.1.0#10#10EtatType:etListing#10NombreRupture:0#10CountFiltreRupture:0#10HasRupture:0#10HasListe:0#10#10Projet:Unicia_Prod#10Dossier:Unicia#10Modele:Unicia/Agents#10#10IsHorodate:0#10IsHorodateMax:-1#10IsListeAvecMacro:0#10IsMajValeurAuto:-1#10IsMultiReport:0#10IsSousReport:-1#10Nom:Report2#10Table:IsSelected=True,TailleHeight=0,IsReduit=0,Haut=180,Gauche=186,Hauteur=50,Largeur=100#10#10IsExecuterAvecGraphe:0#10DistanceHauteurRupture:2#10DistanceLargeurRupture:1#10IsDistinct:0#10IsAllAAfficher:0#10#10~~ChampListingList:Nom=Code,Libelle=Code,NomSQL=AGCODE,Fonction=fListing,Tri=tAucun,Agregation=aAucune,Masque=@,HasZoneListing=0,IsLibelleDynamique=-1#10Nom=Nom,Libelle=Nom,NomSQL=AGNOM,Fonction=fListing,Tri=tAucun,Agregation=aAucune,Masque=@,HasZoneListing=0,IsLibelleDynamique=-1~~#10#10#10FiltreList:TmrFiltreReportGroupe,IsNot=0,Nom=Racine,OperateurLogique=opEt#10#10FiltreHaving:TmrFiltreReportGroupe,IsNot=0,Nom=Racine,OperateurLogique=opEt#10~
~SousReport2:MyReport5.9.0.0#10Version:7.2.1.0#10#10EtatType:etListing#10NombreRupture:0#10CountFiltreRupture:0#10HasRupture:0#10HasListe:0#10#10Projet:Unicia_Prod#10Dossier:Unicia#10Modele:Unicia/Mouvements#10#10IsHorodate:0#10IsHorodateMax:-1#10IsListeAvecMacro:0#10IsMajValeurAuto:-1#10IsMultiReport:0#10IsSousReport:-1#10Nom:Report3#10Table:IsSelected=False,TailleHeight=0,IsReduit=0,Haut=42,Gauche=275,Hauteur=92,Largeur=100#10#10IsExecuterAvecGraphe:0#10DistanceHauteurRupture:2#10DistanceLargeurRupture:1#10IsDistinct:0#10IsAllAAfficher:0#10#10~~ChampListingList:Nom=Libellé,Libelle=Libellé,NomSQL=PRNOM,Fonction=fListing,Tri=tAucun,Agregation=aAucune,Masque=@,HasZoneListing=0,IsLibelleDynamique=-1#10*"Nom=Nb part","Libelle=Nb part",NomSQL=QUANTITE,Fonction=fListing,Tri=tAucun,Agregation=aSomme,"Masque=#,##0",HasZoneListing=0,IsLibelleDynamique=-1*#10*"Nom=Date de souscription","Libelle=Date de souscription",NomSQL=DSOUSCRI,Fonction=fListing,Tri=tAucun,Agregation=aAucune,"Masque=m/d/yyyy h:mm",HasZoneListing=0,IsLibelleDynamique=-1*#10Nom=Souscripteur,Libelle=Souscripteur,NomSQL=SOUSCRI,Fonction=fListing,Tri=tAucun,Agregation=aAucune,Masque=@,HasZoneListing=0,IsLibelleDynamique=-1#10*"Nom=Type propriétaire","Libelle=Type propriétaire",NomSQL=TYPEPROPRIETAIRE,Fonction=fListing,Tri=tAucun,Agregation=aAucune,Masque=@,HasZoneListing=0,IsLibelleDynamique=-1*~~#10#10#10FiltreList:TmrFiltreReportGroupe,IsNot=0,Nom=Racine,OperateurLogique=opEt#10#10FiltreHaving:TmrFiltreReportGroupe,IsNot=0,Nom=Racine,OperateurLogique=opEt#10~
TmrLienVirtuelList:"mrTable1=Report1,mrTable2=Report3,mrChamp1=CCODE_,mrChamp2=SOUSCRI,mrTypeJointure=tjSimple,Couleur=0","mrTable1=Report2,mrTable2=Report1,mrChamp1=AGCODE,mrChamp2=CAGENT_,mrTypeJointure=tjSimple,Couleur=0"
IsNewLienSimple:-1
IsSousReport:0
IsExecuterAvecGraphe:0
DistanceHauteurRupture:2
DistanceLargeurRupture:1
IsAfficheLibelleListing:-1
IsDistinct:0
IsFiltreAuto:0
IsFormatZebre:0
IsZoneACreer:0
IsCreerZoneListing:0
IsLienACreer:0
IsAllAAfficher:0
~ChampListingList:*"Nom=Code client","Libelle=Code client",NomSQL=CCODE_,Fonction=fListing,Report=Report1,mrChampSource=CCODE_,Tri=tAucun,Agregation=aAucune,Masque=@,HasZoneListing=0,IsLibelleDynamique=-1*
Nom=Libellé,Libelle=Libellé,NomSQL=PRNOM,Fonction=fListing,Report=Report3,mrChampSource=PRNOM,Tri=tAucun,Agregation=aAucune,Masque=@,HasZoneListing=0,IsLibelleDynamique=-1
Nom=Nom,Libelle=Nom,NomSQL=AGNOM,Fonction=fListing,Report=Report2,mrChampSource=AGNOM,Tri=tAucun,Agregation=aAucune,Masque=@,HasZoneListing=0,IsLibelleDynamique=-1
Nom=Titre,Libelle=Titre,NomSQL=CTITRE_,Fonction=fListing,Report=Report1,mrChampSource=CTITRE_,Tri=tAucun,Agregation=aAucune,Masque=@,HasZoneListing=0,IsLibelleDynamique=-1
*"Nom=Nom client","Libelle=Nom client",NomSQL=CNOM_,Fonction=fListing,Report=Report1,mrChampSource=CNOM_,Tri=tAucun,Agregation=aAucune,Masque=@,HasZoneListing=0,IsLibelleDynamique=-1*
Nom=Prénom,Libelle=Prénom,NomSQL=CPRENOM_,Fonction=fListing,Report=Report1,mrChampSource=CPRENOM_,Tri=tAucun,Agregation=aAucune,Masque=@,HasZoneListing=0,IsLibelleDynamique=-1
*"Nom=Date naissance","Libelle=Date naissance",NomSQL=CDATE_NAIS_,Fonction=fListing,Report=Report1,mrChampSource=CDATE_NAIS_,Tri=tAucun,Agregation=aAucune,Masque=m/d/yyyy,HasZoneListing=0,IsLibelleDynamique=-1*
*"Nom=Adresse 1 domicile","Libelle=Adresse 1 domicile",NomSQL=DOM_ADD1,Fonction=fListing,Report=Report1,mrChampSource=DOM_ADD1,Tri=tAucun,Agregation=aAucune,Masque=@,HasZoneListing=0,IsLibelleDynamique=-1*
*"Nom=Adresse 2 domicile","Libelle=Adresse 2 domicile",NomSQL=DOM_ADD2,Fonction=fListing,Report=Report1,mrChampSource=DOM_ADD2,Tri=tAucun,Agregation=aAucune,Masque=@,HasZoneListing=0,IsLibelleDynamique=-1*
*"Nom=Adresse 3 domicile","Libelle=Adresse 3 domicile",NomSQL=DOM_ADD3,Fonction=fListing,Report=Report1,mrChampSource=DOM_ADD3,Tri=tAucun,Agregation=aAucune,Masque=@,HasZoneListing=0,IsLibelleDynamique=-1*
*"Nom=CP domicile","Libelle=CP domicile",NomSQL=CDOM_CP_,Fonction=fListing,Report=Report1,mrChampSource=CDOM_CP_,Tri=tAucun,Agregation=aAucune,Masque=@,HasZoneListing=0,IsLibelleDynamique=-1*
*"Nom=Ville domicile","Libelle=Ville domicile",NomSQL=CDOM_VILLE_,Fonction=fListing,Report=Report1,mrChampSource=CDOM_VILLE_,Tri=tAucun,Agregation=aAucune,Masque=@,HasZoneListing=0,IsLibelleDynamique=-1*
*"Nom=Type propriétaire","Libelle=Type propriétaire",NomSQL=TYPEPROPRIETAIRE,Fonction=fListing,Report=Report3,mrChampSource=TYPEPROPRIETAIRE,Tri=tAucun,Agregation=aAucune,Masque=@,HasZoneListing=0,IsLibelleDynamique=-1*
*"Nom=Date de souscription","Libelle=Date de souscription",NomSQL=DSOUSCRI,Fonction=fListing,Report=Report3,mrChampSource=DSOUSCRI,Tri=tAucun,Agregation=aAucune,"Masque=m/d/yyyy h:mm",HasZoneListing=0,IsLibelleDynamique=-1*
*"Nom=Nb part","Libelle=Nb part",NomSQL=QUANTITE,Fonction=fListing,Report=Report3,mrChampSource=QUANTITE,Tri=tAucun,Agregation=aSomme,"Masque=#,##0",HasZoneListing=0,IsLibelleDynamique=-1*~
~FiltreList:TmrFiltreReportGroupe,IsNot=0,Nom=Racine,OperateurLogique=opEt
*TmrFiltreReport,GroupeParent=Racine,IsNot=0,IsActif=-1,mrChamp=AGNOM,Agregation=aAucune,Operateur=opEgal,IsAvecEmpty=0,IsTenirComptePrecedent=-1,"Valeur1=""ARKEA                    """,ChoixType=cValeur,"Libelle=Nom Egal à",IsAfficherFiltre=0*~
FiltreHaving:TmrFiltreReportGroupe,IsNot=0,Nom=Racine,OperateurLogique=opEt
FormatType:fMyReport
rnpLibelleListing:Horz=ahCentre,Vert=avCentre,Orientation=oHorizontale,Degre=0,RenvoiL=0,PNom=Arial,PTaille=8,PCouleur=16777215,Fond=8388608,Masque=General,IsBordureActive=-1,BordH=epbMoyenne,BordB=epbMoyenne,BordG=epbMoyenne,BordD=epbMoyenne,BordIV=epbFine,BordIH=epbFine
rnpLigne1Listing:Horz=ahStandard,Vert=avCentre,Orientation=oHorizontale,Degre=0,RenvoiL=0,PNom=Arial,PTaille=8,PCouleur=0,Fond=16777215,Masque=General,IsBordureActive=-1,BordH=epbMoyenne,BordB=epbMoyenne,BordG=epbMoyenne,BordD=epbMoyenne,BordIV=epbFine,BordIH=epbFine
rnpLigne2Listing:Horz=ahStandard,Vert=avCentre,Orientation=oHorizontale,Degre=0,RenvoiL=0,PNom=Arial,PTaille=8,PCouleur=0,Fond=13434879,Masque=General,IsBordureActive=0
rnpLibelleFiltreRupture:Horz=ahGauche,Vert=avCentre,Orientation=oHorizontale,Degre=0,RenvoiL=0,PNom=Arial,PTaille=8,PCouleur=0,Fond=-16777211,Masque=@,IsBordureActive=0
rnpValeurFiltreRupture:Horz=ahGauche,Vert=avCentre,Orientation=oHorizontale,Degre=0,RenvoiL=0,PNom=Arial,PTaille=8,PCouleur=0,Fond=-16777211,Masque=@,IsBordureActive=0
</t>
        </r>
      </text>
    </comment>
  </commentList>
</comments>
</file>

<file path=xl/sharedStrings.xml><?xml version="1.0" encoding="utf-8"?>
<sst xmlns="http://schemas.openxmlformats.org/spreadsheetml/2006/main" count="302" uniqueCount="132">
  <si>
    <t>Code client</t>
  </si>
  <si>
    <t>Libellé</t>
  </si>
  <si>
    <t>Nom client</t>
  </si>
  <si>
    <t>Prénom</t>
  </si>
  <si>
    <t>Date naissance</t>
  </si>
  <si>
    <t>Adresse 1 domicile</t>
  </si>
  <si>
    <t>Adresse 2 domicile</t>
  </si>
  <si>
    <t>Adresse 3 domicile</t>
  </si>
  <si>
    <t>CP domicile</t>
  </si>
  <si>
    <t>Nb part</t>
  </si>
  <si>
    <t/>
  </si>
  <si>
    <t xml:space="preserve">URBAN PRESTIGIMMO 2      </t>
  </si>
  <si>
    <t xml:space="preserve">URBAN PIERRE N°5         </t>
  </si>
  <si>
    <t xml:space="preserve">URBAN VITALIM N°2        </t>
  </si>
  <si>
    <t xml:space="preserve">MONIQUE             </t>
  </si>
  <si>
    <t xml:space="preserve">CHRISTOPHE          </t>
  </si>
  <si>
    <t xml:space="preserve">FRANCK              </t>
  </si>
  <si>
    <t>77600</t>
  </si>
  <si>
    <t>002883</t>
  </si>
  <si>
    <t xml:space="preserve">GUICHARD                 </t>
  </si>
  <si>
    <t>1 RUE DES GUERMANTES</t>
  </si>
  <si>
    <t xml:space="preserve">GAUTHIER                 </t>
  </si>
  <si>
    <t>003147</t>
  </si>
  <si>
    <t>11 RUE DES SOURCES</t>
  </si>
  <si>
    <t>13005</t>
  </si>
  <si>
    <t>007743</t>
  </si>
  <si>
    <t>2T RUE SAINT VINCENT</t>
  </si>
  <si>
    <t>77114</t>
  </si>
  <si>
    <t>008800</t>
  </si>
  <si>
    <t xml:space="preserve">SILVY                    </t>
  </si>
  <si>
    <t>72 BOULEVARD JEANNE D'ARC</t>
  </si>
  <si>
    <t>Nom</t>
  </si>
  <si>
    <t>Titre</t>
  </si>
  <si>
    <t>Ville domicile</t>
  </si>
  <si>
    <t xml:space="preserve">ASTORIA FINANCE          </t>
  </si>
  <si>
    <t>BUSSY ST MARTIN</t>
  </si>
  <si>
    <t>GOUAIX</t>
  </si>
  <si>
    <t xml:space="preserve">Mme                 </t>
  </si>
  <si>
    <t>MARSEILLE</t>
  </si>
  <si>
    <t>Prix de souscription</t>
  </si>
  <si>
    <t>FRAIS UNIQUES 1€ SIFU €</t>
  </si>
  <si>
    <t>FRAIS UNIQUES 1 % PSIFU %</t>
  </si>
  <si>
    <t>FRAIS RECURRENTS €     SIFR €</t>
  </si>
  <si>
    <t>FRAIS RECURRENTS % PSIFR %</t>
  </si>
  <si>
    <t>FRAIS LIES AUX TRANSACTIONS 1 €         SIFT €</t>
  </si>
  <si>
    <t>FRAIS LIES AUX TRANSACTIONS 1 % SIFT %</t>
  </si>
  <si>
    <t>FRAIS LIES AUX SERVICES AUXILIARES € SIFA €</t>
  </si>
  <si>
    <t>FRAIS LIES AUX SERVICES AUXILIARES %       SIFA %</t>
  </si>
  <si>
    <t>FRAIS UNIQUES 2    FU €</t>
  </si>
  <si>
    <t>FRAIS UNIQUES 2 en %                    FU %</t>
  </si>
  <si>
    <t>Couts et frais liés aux SI €                       SI €</t>
  </si>
  <si>
    <t>Couts et frais liés aux SI %                             PSI %</t>
  </si>
  <si>
    <t>FRAIS UNIQUES 2 €</t>
  </si>
  <si>
    <t>FRAIS UNIQUES 2  %</t>
  </si>
  <si>
    <t>(FRAIS LIES AUX TRANSACTIONS 1 + FRAIS UNIQUES 2)        SI + FU €</t>
  </si>
  <si>
    <t>FRAIS RECURRENTS 2                    FR €</t>
  </si>
  <si>
    <t>FRAIS RECURRENTS 2 en %                FR %</t>
  </si>
  <si>
    <t>FRAIS IMMOBILIERS 2                    FIM €</t>
  </si>
  <si>
    <t>FRAIS IMMOBILIERS 2 en %               PFIM %</t>
  </si>
  <si>
    <t>FRAIS LIES AUX TRANSACTIONS 2          FIT €</t>
  </si>
  <si>
    <t>FRAIS LIES AUX TRANSAC           PFIT %</t>
  </si>
  <si>
    <t>Commissions de performance et de surperformance   CPS €</t>
  </si>
  <si>
    <t>Commissions de performance et de surperformance en %                           CPS %</t>
  </si>
  <si>
    <t>Coûts et frais associés à la SCPI                 FITT €</t>
  </si>
  <si>
    <t>Coûts et frais associés à la SCPI en %                PFITT %</t>
  </si>
  <si>
    <t>Total des coûts et frais                   CFTT €</t>
  </si>
  <si>
    <t>Total des coûts et frais en %              PCFTT %</t>
  </si>
  <si>
    <t xml:space="preserve">FRAIS LIES AUX TRANSACTIONS 1 €   RTC € </t>
  </si>
  <si>
    <t>FRAIS LIES AUX TRANSACTIONS 1 %   PRTC %</t>
  </si>
  <si>
    <t>013640</t>
  </si>
  <si>
    <t>04510</t>
  </si>
  <si>
    <t>AIGLUN</t>
  </si>
  <si>
    <t>Libellé Associé</t>
  </si>
  <si>
    <t>Pays domicile</t>
  </si>
  <si>
    <t>Date de souscription</t>
  </si>
  <si>
    <t>Valeur de réalisation 31/12/2023</t>
  </si>
  <si>
    <t>Type propriétaire</t>
  </si>
  <si>
    <t xml:space="preserve">M. et Mme           </t>
  </si>
  <si>
    <t>P</t>
  </si>
  <si>
    <t xml:space="preserve">URBAN PIERRE 2           </t>
  </si>
  <si>
    <t xml:space="preserve">URBAN PIERRE N°3         </t>
  </si>
  <si>
    <t xml:space="preserve">ANNE                </t>
  </si>
  <si>
    <t xml:space="preserve">M.                  </t>
  </si>
  <si>
    <t xml:space="preserve">URBAN PRESTIGIMMO N°3    </t>
  </si>
  <si>
    <t xml:space="preserve">URBAN PIERRE N°4         </t>
  </si>
  <si>
    <t>74940</t>
  </si>
  <si>
    <t>ANNECY LE VIEUX</t>
  </si>
  <si>
    <t xml:space="preserve">ALAIN               </t>
  </si>
  <si>
    <t xml:space="preserve">URBAN PRESTIGIMMO N°4    </t>
  </si>
  <si>
    <t xml:space="preserve">URBAN VITALIM            </t>
  </si>
  <si>
    <t xml:space="preserve">FREDERIC            </t>
  </si>
  <si>
    <t xml:space="preserve">URBAN VITALIM N°3        </t>
  </si>
  <si>
    <t xml:space="preserve">URBAN VITALIM N°4        </t>
  </si>
  <si>
    <t xml:space="preserve">RODRIGUEZ                </t>
  </si>
  <si>
    <t xml:space="preserve">CHRISTELLE          </t>
  </si>
  <si>
    <t>002333</t>
  </si>
  <si>
    <t xml:space="preserve">DAVAT                    </t>
  </si>
  <si>
    <t>9 RUE DU VIEUX CHATEAU</t>
  </si>
  <si>
    <t>74100</t>
  </si>
  <si>
    <t>ANNEMASSE</t>
  </si>
  <si>
    <t>002432</t>
  </si>
  <si>
    <t xml:space="preserve">JOSE                </t>
  </si>
  <si>
    <t>33  CLOS DE LA PRAIRIE</t>
  </si>
  <si>
    <t>74800</t>
  </si>
  <si>
    <t>ST PIERRE EN FAUCIGNY</t>
  </si>
  <si>
    <t>002903</t>
  </si>
  <si>
    <t xml:space="preserve">JACOTTIN                 </t>
  </si>
  <si>
    <t>15 BIS RUE DU BULLOZ</t>
  </si>
  <si>
    <t xml:space="preserve">FRÉDÉRICK           </t>
  </si>
  <si>
    <t>005299</t>
  </si>
  <si>
    <t xml:space="preserve">TOTIN                    </t>
  </si>
  <si>
    <t xml:space="preserve">SWEN                </t>
  </si>
  <si>
    <t>110 CLOS DES ECOLIERS</t>
  </si>
  <si>
    <t>74140</t>
  </si>
  <si>
    <t>SAINT CERGUES</t>
  </si>
  <si>
    <t>006879</t>
  </si>
  <si>
    <t xml:space="preserve">VIDAL                    </t>
  </si>
  <si>
    <t>195 B RUE NELSON MANDELA</t>
  </si>
  <si>
    <t>74160</t>
  </si>
  <si>
    <t>ST JULIEN EN GENEVOIS</t>
  </si>
  <si>
    <t>009305</t>
  </si>
  <si>
    <t xml:space="preserve">COTTET DUMOULIN          </t>
  </si>
  <si>
    <t>449 ROUTE DE VOVRAY</t>
  </si>
  <si>
    <t>ARCHAMPS</t>
  </si>
  <si>
    <t>009680</t>
  </si>
  <si>
    <t xml:space="preserve">NEURAZ                   </t>
  </si>
  <si>
    <t>138 ROUTE DE LA DOUANE</t>
  </si>
  <si>
    <t>01220</t>
  </si>
  <si>
    <t>DIVONNE LES BAINS</t>
  </si>
  <si>
    <t xml:space="preserve">GHIRARDINI               </t>
  </si>
  <si>
    <t>17 AVENUES DES GREES</t>
  </si>
  <si>
    <t>Valeur de réalisation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</si>
</sst>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\ &quot;€&quot;"/>
    <numFmt numFmtId="165" formatCode="0.000%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rgb="FF080000"/>
      </left>
      <right style="thin">
        <color rgb="FF080000"/>
      </right>
      <top style="medium">
        <color rgb="FF080000"/>
      </top>
      <bottom/>
      <diagonal/>
    </border>
    <border>
      <left style="thin">
        <color rgb="FF080000"/>
      </left>
      <right style="thin">
        <color rgb="FF080000"/>
      </right>
      <top style="medium">
        <color rgb="FF080000"/>
      </top>
      <bottom/>
      <diagonal/>
    </border>
    <border>
      <left style="thin">
        <color rgb="FF080000"/>
      </left>
      <right style="medium">
        <color rgb="FF080000"/>
      </right>
      <top style="medium">
        <color rgb="FF080000"/>
      </top>
      <bottom/>
      <diagonal/>
    </border>
    <border>
      <left style="medium">
        <color rgb="FF080000"/>
      </left>
      <right style="thin">
        <color rgb="FF080000"/>
      </right>
      <top style="thin">
        <color rgb="FF080000"/>
      </top>
      <bottom style="thin">
        <color rgb="FF080000"/>
      </bottom>
      <diagonal/>
    </border>
    <border>
      <left style="thin">
        <color rgb="FF080000"/>
      </left>
      <right style="thin">
        <color rgb="FF080000"/>
      </right>
      <top style="thin">
        <color rgb="FF080000"/>
      </top>
      <bottom style="thin">
        <color rgb="FF080000"/>
      </bottom>
      <diagonal/>
    </border>
    <border>
      <left style="thin">
        <color rgb="FF080000"/>
      </left>
      <right style="medium">
        <color rgb="FF080000"/>
      </right>
      <top style="thin">
        <color rgb="FF080000"/>
      </top>
      <bottom style="thin">
        <color rgb="FF08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80000"/>
      </left>
      <right style="thin">
        <color rgb="FF080000"/>
      </right>
      <top style="medium">
        <color rgb="FF080000"/>
      </top>
      <bottom style="thin">
        <color rgb="FF080000"/>
      </bottom>
      <diagonal/>
    </border>
    <border>
      <left style="thin">
        <color rgb="FF080000"/>
      </left>
      <right style="thin">
        <color rgb="FF080000"/>
      </right>
      <top style="medium">
        <color rgb="FF080000"/>
      </top>
      <bottom style="thin">
        <color rgb="FF080000"/>
      </bottom>
      <diagonal/>
    </border>
    <border>
      <left style="thin">
        <color rgb="FF080000"/>
      </left>
      <right style="medium">
        <color rgb="FF080000"/>
      </right>
      <top style="medium">
        <color rgb="FF080000"/>
      </top>
      <bottom style="thin">
        <color rgb="FF08000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/>
    </xf>
    <xf numFmtId="3" fontId="2" fillId="3" borderId="9" xfId="0" applyNumberFormat="1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 wrapText="1"/>
    </xf>
    <xf numFmtId="0" fontId="6" fillId="0" borderId="0" xfId="0" applyFont="1"/>
    <xf numFmtId="14" fontId="1" fillId="2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49" fontId="2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22" fontId="2" fillId="0" borderId="5" xfId="0" applyNumberFormat="1" applyFont="1" applyBorder="1" applyAlignment="1">
      <alignment vertical="center"/>
    </xf>
    <xf numFmtId="4" fontId="2" fillId="0" borderId="11" xfId="0" applyNumberFormat="1" applyFont="1" applyBorder="1" applyAlignment="1">
      <alignment horizontal="center" vertical="center"/>
    </xf>
    <xf numFmtId="164" fontId="1" fillId="5" borderId="7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2" fillId="3" borderId="6" xfId="0" applyNumberFormat="1" applyFont="1" applyFill="1" applyBorder="1" applyAlignment="1">
      <alignment vertical="center"/>
    </xf>
    <xf numFmtId="164" fontId="5" fillId="0" borderId="9" xfId="0" applyNumberFormat="1" applyFont="1" applyBorder="1" applyAlignment="1">
      <alignment horizontal="center"/>
    </xf>
    <xf numFmtId="10" fontId="5" fillId="0" borderId="9" xfId="0" applyNumberFormat="1" applyFont="1" applyBorder="1" applyAlignment="1">
      <alignment horizontal="center"/>
    </xf>
    <xf numFmtId="164" fontId="5" fillId="6" borderId="9" xfId="0" applyNumberFormat="1" applyFont="1" applyFill="1" applyBorder="1" applyAlignment="1">
      <alignment horizontal="center"/>
    </xf>
    <xf numFmtId="164" fontId="5" fillId="6" borderId="9" xfId="1" applyNumberFormat="1" applyFont="1" applyFill="1" applyBorder="1" applyAlignment="1">
      <alignment horizontal="center"/>
    </xf>
    <xf numFmtId="10" fontId="5" fillId="6" borderId="9" xfId="0" applyNumberFormat="1" applyFont="1" applyFill="1" applyBorder="1" applyAlignment="1">
      <alignment horizontal="center"/>
    </xf>
    <xf numFmtId="10" fontId="5" fillId="6" borderId="9" xfId="1" applyNumberFormat="1" applyFont="1" applyFill="1" applyBorder="1" applyAlignment="1">
      <alignment horizontal="center"/>
    </xf>
    <xf numFmtId="9" fontId="5" fillId="0" borderId="9" xfId="1" applyFont="1" applyFill="1" applyBorder="1" applyAlignment="1">
      <alignment horizontal="center"/>
    </xf>
    <xf numFmtId="43" fontId="5" fillId="6" borderId="9" xfId="2" applyFont="1" applyFill="1" applyBorder="1" applyAlignment="1">
      <alignment horizontal="center"/>
    </xf>
    <xf numFmtId="43" fontId="5" fillId="0" borderId="9" xfId="2" applyFont="1" applyBorder="1" applyAlignment="1">
      <alignment horizontal="center"/>
    </xf>
    <xf numFmtId="10" fontId="5" fillId="0" borderId="9" xfId="1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9" fontId="5" fillId="0" borderId="9" xfId="0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49" fontId="2" fillId="3" borderId="12" xfId="0" applyNumberFormat="1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vertical="center"/>
    </xf>
    <xf numFmtId="49" fontId="2" fillId="3" borderId="13" xfId="0" applyNumberFormat="1" applyFont="1" applyFill="1" applyBorder="1" applyAlignment="1">
      <alignment vertical="center"/>
    </xf>
    <xf numFmtId="49" fontId="2" fillId="3" borderId="5" xfId="0" applyNumberFormat="1" applyFont="1" applyFill="1" applyBorder="1" applyAlignment="1">
      <alignment vertical="center"/>
    </xf>
    <xf numFmtId="14" fontId="2" fillId="3" borderId="13" xfId="0" applyNumberFormat="1" applyFont="1" applyFill="1" applyBorder="1" applyAlignment="1">
      <alignment vertical="center"/>
    </xf>
    <xf numFmtId="14" fontId="2" fillId="3" borderId="5" xfId="0" applyNumberFormat="1" applyFont="1" applyFill="1" applyBorder="1" applyAlignment="1">
      <alignment vertical="center"/>
    </xf>
    <xf numFmtId="3" fontId="2" fillId="3" borderId="14" xfId="0" applyNumberFormat="1" applyFont="1" applyFill="1" applyBorder="1" applyAlignment="1">
      <alignment vertical="center"/>
    </xf>
    <xf numFmtId="3" fontId="2" fillId="3" borderId="6" xfId="0" applyNumberFormat="1" applyFont="1" applyFill="1" applyBorder="1" applyAlignment="1">
      <alignment vertical="center"/>
    </xf>
    <xf numFmtId="164" fontId="5" fillId="4" borderId="9" xfId="0" applyNumberFormat="1" applyFont="1" applyFill="1" applyBorder="1" applyAlignment="1">
      <alignment horizontal="center"/>
    </xf>
    <xf numFmtId="10" fontId="5" fillId="4" borderId="9" xfId="0" applyNumberFormat="1" applyFont="1" applyFill="1" applyBorder="1" applyAlignment="1">
      <alignment horizontal="center"/>
    </xf>
    <xf numFmtId="10" fontId="5" fillId="4" borderId="9" xfId="1" applyNumberFormat="1" applyFont="1" applyFill="1" applyBorder="1" applyAlignment="1">
      <alignment horizontal="center"/>
    </xf>
    <xf numFmtId="165" fontId="5" fillId="4" borderId="9" xfId="0" applyNumberFormat="1" applyFont="1" applyFill="1" applyBorder="1" applyAlignment="1">
      <alignment horizontal="center"/>
    </xf>
    <xf numFmtId="165" fontId="5" fillId="4" borderId="9" xfId="1" applyNumberFormat="1" applyFont="1" applyFill="1" applyBorder="1" applyAlignment="1">
      <alignment horizontal="center"/>
    </xf>
    <xf numFmtId="0" fontId="0" fillId="4" borderId="0" xfId="0" applyFill="1"/>
    <xf numFmtId="49" fontId="2" fillId="4" borderId="13" xfId="0" applyNumberFormat="1" applyFont="1" applyFill="1" applyBorder="1" applyAlignment="1">
      <alignment vertical="center"/>
    </xf>
    <xf numFmtId="49" fontId="2" fillId="4" borderId="5" xfId="0" applyNumberFormat="1" applyFont="1" applyFill="1" applyBorder="1" applyAlignment="1">
      <alignment vertical="center"/>
    </xf>
    <xf numFmtId="22" fontId="2" fillId="4" borderId="13" xfId="0" applyNumberFormat="1" applyFont="1" applyFill="1" applyBorder="1" applyAlignment="1">
      <alignment vertical="center"/>
    </xf>
    <xf numFmtId="22" fontId="2" fillId="4" borderId="5" xfId="0" applyNumberFormat="1" applyFont="1" applyFill="1" applyBorder="1" applyAlignment="1">
      <alignment vertical="center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48576"/>
  <sheetViews>
    <sheetView tabSelected="1" zoomScaleNormal="100" workbookViewId="0">
      <selection activeCell="J30" sqref="J30"/>
    </sheetView>
  </sheetViews>
  <sheetFormatPr baseColWidth="10" defaultRowHeight="14.5" x14ac:dyDescent="0.35"/>
  <cols>
    <col min="1" max="1" width="14.453125" bestFit="1" customWidth="1"/>
    <col min="2" max="2" width="21" bestFit="1" customWidth="1"/>
    <col min="3" max="3" width="18.54296875" bestFit="1" customWidth="1"/>
    <col min="4" max="4" width="12.54296875" bestFit="1" customWidth="1"/>
    <col min="5" max="5" width="18.81640625" bestFit="1" customWidth="1"/>
    <col min="6" max="6" width="14.26953125" customWidth="1"/>
    <col min="7" max="7" width="17.453125" customWidth="1"/>
    <col min="8" max="8" width="23.453125" customWidth="1"/>
    <col min="9" max="10" width="21" customWidth="1"/>
    <col min="11" max="11" width="14.81640625" customWidth="1"/>
    <col min="12" max="12" width="18.54296875" customWidth="1"/>
    <col min="13" max="13" width="19.26953125" customWidth="1"/>
    <col min="14" max="14" width="22" bestFit="1" customWidth="1"/>
    <col min="15" max="15" width="11.1796875" style="13" bestFit="1" customWidth="1"/>
    <col min="18" max="18" width="11.453125" style="20"/>
  </cols>
  <sheetData>
    <row r="1" spans="1:46" s="11" customFormat="1" ht="74" thickBot="1" x14ac:dyDescent="0.35">
      <c r="A1" s="1" t="s">
        <v>0</v>
      </c>
      <c r="B1" s="2" t="s">
        <v>1</v>
      </c>
      <c r="C1" s="2" t="s">
        <v>31</v>
      </c>
      <c r="D1" s="2" t="s">
        <v>32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33</v>
      </c>
      <c r="M1" s="2" t="s">
        <v>76</v>
      </c>
      <c r="N1" s="2" t="s">
        <v>74</v>
      </c>
      <c r="O1" s="3" t="s">
        <v>9</v>
      </c>
      <c r="P1" s="10" t="s">
        <v>131</v>
      </c>
      <c r="Q1" s="5" t="s">
        <v>39</v>
      </c>
      <c r="R1" s="19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46</v>
      </c>
      <c r="Y1" s="5" t="s">
        <v>47</v>
      </c>
      <c r="Z1" s="5" t="s">
        <v>48</v>
      </c>
      <c r="AA1" s="5" t="s">
        <v>49</v>
      </c>
      <c r="AB1" s="4" t="s">
        <v>50</v>
      </c>
      <c r="AC1" s="4" t="s">
        <v>51</v>
      </c>
      <c r="AD1" s="4" t="s">
        <v>52</v>
      </c>
      <c r="AE1" s="4" t="s">
        <v>53</v>
      </c>
      <c r="AF1" s="4" t="s">
        <v>54</v>
      </c>
      <c r="AG1" s="6" t="s">
        <v>55</v>
      </c>
      <c r="AH1" s="6" t="s">
        <v>56</v>
      </c>
      <c r="AI1" s="6" t="s">
        <v>57</v>
      </c>
      <c r="AJ1" s="6" t="s">
        <v>58</v>
      </c>
      <c r="AK1" s="6" t="s">
        <v>59</v>
      </c>
      <c r="AL1" s="6" t="s">
        <v>60</v>
      </c>
      <c r="AM1" s="6" t="s">
        <v>61</v>
      </c>
      <c r="AN1" s="6" t="s">
        <v>62</v>
      </c>
      <c r="AO1" s="4" t="s">
        <v>63</v>
      </c>
      <c r="AP1" s="4" t="s">
        <v>64</v>
      </c>
      <c r="AQ1" s="4" t="s">
        <v>65</v>
      </c>
      <c r="AR1" s="4" t="s">
        <v>66</v>
      </c>
      <c r="AS1" s="4" t="s">
        <v>67</v>
      </c>
      <c r="AT1" s="7" t="s">
        <v>68</v>
      </c>
    </row>
    <row r="2" spans="1:46" x14ac:dyDescent="0.35">
      <c r="A2" s="35" t="s">
        <v>95</v>
      </c>
      <c r="B2" s="49" t="s">
        <v>79</v>
      </c>
      <c r="C2" s="37" t="s">
        <v>34</v>
      </c>
      <c r="D2" s="37" t="s">
        <v>82</v>
      </c>
      <c r="E2" s="49" t="s">
        <v>96</v>
      </c>
      <c r="F2" s="49" t="s">
        <v>90</v>
      </c>
      <c r="G2" s="39">
        <v>25684</v>
      </c>
      <c r="H2" s="37" t="s">
        <v>97</v>
      </c>
      <c r="I2" s="37" t="s">
        <v>10</v>
      </c>
      <c r="J2" s="37" t="s">
        <v>10</v>
      </c>
      <c r="K2" s="37" t="s">
        <v>98</v>
      </c>
      <c r="L2" s="37" t="s">
        <v>99</v>
      </c>
      <c r="M2" s="37" t="s">
        <v>78</v>
      </c>
      <c r="N2" s="51">
        <v>41955</v>
      </c>
      <c r="O2" s="41">
        <v>10</v>
      </c>
      <c r="P2" s="18">
        <v>398.9</v>
      </c>
      <c r="Q2" s="8">
        <v>500</v>
      </c>
      <c r="R2" s="22">
        <v>0</v>
      </c>
      <c r="S2" s="23">
        <v>0</v>
      </c>
      <c r="T2" s="22">
        <v>0</v>
      </c>
      <c r="U2" s="23">
        <v>0</v>
      </c>
      <c r="V2" s="24">
        <f t="shared" ref="V2:V18" si="0">W2*Q2*O2</f>
        <v>0</v>
      </c>
      <c r="W2" s="23">
        <v>0</v>
      </c>
      <c r="X2" s="22">
        <v>0</v>
      </c>
      <c r="Y2" s="23">
        <v>0</v>
      </c>
      <c r="Z2" s="24">
        <f t="shared" ref="Z2:Z18" si="1">AA2*O2*Q2</f>
        <v>0</v>
      </c>
      <c r="AA2" s="23">
        <v>0</v>
      </c>
      <c r="AB2" s="25">
        <f t="shared" ref="AB2:AB18" si="2">V2</f>
        <v>0</v>
      </c>
      <c r="AC2" s="26">
        <f t="shared" ref="AC2:AC18" si="3">AB2/(P2*O2)</f>
        <v>0</v>
      </c>
      <c r="AD2" s="24">
        <f t="shared" ref="AD2:AD18" si="4">Z2</f>
        <v>0</v>
      </c>
      <c r="AE2" s="27">
        <f t="shared" ref="AE2:AE18" si="5">AD2/(P2*O2)</f>
        <v>0</v>
      </c>
      <c r="AF2" s="24">
        <f t="shared" ref="AF2:AF18" si="6">Z2+AB2</f>
        <v>0</v>
      </c>
      <c r="AG2" s="43">
        <f t="shared" ref="AG2:AG18" si="7">AH2*P2*O2</f>
        <v>30.914749999999998</v>
      </c>
      <c r="AH2" s="44">
        <v>7.7499999999999999E-3</v>
      </c>
      <c r="AI2" s="43">
        <f>AJ2*P2*O2</f>
        <v>77.984949999999998</v>
      </c>
      <c r="AJ2" s="44">
        <v>1.9550000000000001E-2</v>
      </c>
      <c r="AK2" s="43">
        <f>AL2*P2*O2</f>
        <v>0</v>
      </c>
      <c r="AL2" s="44">
        <v>0</v>
      </c>
      <c r="AM2" s="22">
        <v>0</v>
      </c>
      <c r="AN2" s="28">
        <v>0</v>
      </c>
      <c r="AO2" s="24">
        <f>Z2+AG2+AI2+AK2</f>
        <v>108.8997</v>
      </c>
      <c r="AP2" s="26">
        <f>AO2/(O2*P2)</f>
        <v>2.7299999999999998E-2</v>
      </c>
      <c r="AQ2" s="24">
        <f>AO2+AB2</f>
        <v>108.8997</v>
      </c>
      <c r="AR2" s="26">
        <f>AQ2/(P2*O2)</f>
        <v>2.7299999999999998E-2</v>
      </c>
      <c r="AS2" s="25">
        <f>V2</f>
        <v>0</v>
      </c>
      <c r="AT2" s="27">
        <f>AS2/(P2*O2)</f>
        <v>0</v>
      </c>
    </row>
    <row r="3" spans="1:46" x14ac:dyDescent="0.35">
      <c r="A3" s="36" t="s">
        <v>100</v>
      </c>
      <c r="B3" s="50" t="s">
        <v>11</v>
      </c>
      <c r="C3" s="38" t="s">
        <v>34</v>
      </c>
      <c r="D3" s="38" t="s">
        <v>77</v>
      </c>
      <c r="E3" s="50" t="s">
        <v>93</v>
      </c>
      <c r="F3" s="50" t="s">
        <v>101</v>
      </c>
      <c r="G3" s="40">
        <v>27633</v>
      </c>
      <c r="H3" s="38" t="s">
        <v>102</v>
      </c>
      <c r="I3" s="38" t="s">
        <v>10</v>
      </c>
      <c r="J3" s="38" t="s">
        <v>10</v>
      </c>
      <c r="K3" s="38" t="s">
        <v>103</v>
      </c>
      <c r="L3" s="38" t="s">
        <v>104</v>
      </c>
      <c r="M3" s="38" t="s">
        <v>78</v>
      </c>
      <c r="N3" s="52">
        <v>41961</v>
      </c>
      <c r="O3" s="42">
        <v>40</v>
      </c>
      <c r="P3" s="18">
        <v>404.5</v>
      </c>
      <c r="Q3" s="8">
        <v>500</v>
      </c>
      <c r="R3" s="22">
        <v>0</v>
      </c>
      <c r="S3" s="23">
        <v>0</v>
      </c>
      <c r="T3" s="22">
        <v>0</v>
      </c>
      <c r="U3" s="23">
        <v>0</v>
      </c>
      <c r="V3" s="24">
        <f t="shared" si="0"/>
        <v>0</v>
      </c>
      <c r="W3" s="23">
        <v>0</v>
      </c>
      <c r="X3" s="22">
        <v>0</v>
      </c>
      <c r="Y3" s="23">
        <v>0</v>
      </c>
      <c r="Z3" s="24">
        <f t="shared" si="1"/>
        <v>0</v>
      </c>
      <c r="AA3" s="23">
        <v>0</v>
      </c>
      <c r="AB3" s="25">
        <f t="shared" si="2"/>
        <v>0</v>
      </c>
      <c r="AC3" s="26">
        <f t="shared" si="3"/>
        <v>0</v>
      </c>
      <c r="AD3" s="24">
        <f t="shared" si="4"/>
        <v>0</v>
      </c>
      <c r="AE3" s="27">
        <f t="shared" si="5"/>
        <v>0</v>
      </c>
      <c r="AF3" s="24">
        <f t="shared" si="6"/>
        <v>0</v>
      </c>
      <c r="AG3" s="43">
        <f t="shared" si="7"/>
        <v>95.947400000000002</v>
      </c>
      <c r="AH3" s="44">
        <v>5.9300000000000004E-3</v>
      </c>
      <c r="AI3" s="43">
        <f t="shared" ref="AI3:AI10" si="8">AJ3*P3*O3</f>
        <v>0</v>
      </c>
      <c r="AJ3" s="44">
        <v>0</v>
      </c>
      <c r="AK3" s="43">
        <f t="shared" ref="AK3:AK10" si="9">AL3*P3*O3</f>
        <v>0</v>
      </c>
      <c r="AL3" s="44">
        <v>0</v>
      </c>
      <c r="AM3" s="22">
        <v>0</v>
      </c>
      <c r="AN3" s="28">
        <v>0</v>
      </c>
      <c r="AO3" s="24">
        <f t="shared" ref="AO3:AO8" si="10">Z3+AG3+AI3+AK3</f>
        <v>95.947400000000002</v>
      </c>
      <c r="AP3" s="26">
        <f t="shared" ref="AP3:AP8" si="11">AO3/(O3*P3)</f>
        <v>5.9300000000000004E-3</v>
      </c>
      <c r="AQ3" s="24">
        <f t="shared" ref="AQ3:AQ8" si="12">AO3+AB3</f>
        <v>95.947400000000002</v>
      </c>
      <c r="AR3" s="26">
        <f t="shared" ref="AR3:AR8" si="13">AQ3/(P3*O3)</f>
        <v>5.9300000000000004E-3</v>
      </c>
      <c r="AS3" s="25">
        <f t="shared" ref="AS3:AS8" si="14">V3</f>
        <v>0</v>
      </c>
      <c r="AT3" s="27">
        <f t="shared" ref="AT3:AT8" si="15">AS3/(P3*O3)</f>
        <v>0</v>
      </c>
    </row>
    <row r="4" spans="1:46" x14ac:dyDescent="0.35">
      <c r="A4" s="36" t="s">
        <v>100</v>
      </c>
      <c r="B4" s="50" t="s">
        <v>83</v>
      </c>
      <c r="C4" s="38" t="s">
        <v>34</v>
      </c>
      <c r="D4" s="38" t="s">
        <v>77</v>
      </c>
      <c r="E4" s="50" t="s">
        <v>93</v>
      </c>
      <c r="F4" s="50" t="s">
        <v>101</v>
      </c>
      <c r="G4" s="40">
        <v>27633</v>
      </c>
      <c r="H4" s="38" t="s">
        <v>102</v>
      </c>
      <c r="I4" s="38" t="s">
        <v>10</v>
      </c>
      <c r="J4" s="38" t="s">
        <v>10</v>
      </c>
      <c r="K4" s="38" t="s">
        <v>103</v>
      </c>
      <c r="L4" s="38" t="s">
        <v>104</v>
      </c>
      <c r="M4" s="38" t="s">
        <v>78</v>
      </c>
      <c r="N4" s="52">
        <v>42727</v>
      </c>
      <c r="O4" s="42">
        <v>20</v>
      </c>
      <c r="P4" s="18">
        <v>402.13</v>
      </c>
      <c r="Q4" s="8">
        <v>500</v>
      </c>
      <c r="R4" s="22">
        <v>0</v>
      </c>
      <c r="S4" s="23">
        <v>0</v>
      </c>
      <c r="T4" s="22">
        <v>0</v>
      </c>
      <c r="U4" s="23">
        <v>0</v>
      </c>
      <c r="V4" s="24">
        <f t="shared" si="0"/>
        <v>0</v>
      </c>
      <c r="W4" s="23">
        <v>0</v>
      </c>
      <c r="X4" s="22">
        <v>0</v>
      </c>
      <c r="Y4" s="23">
        <v>0</v>
      </c>
      <c r="Z4" s="24">
        <f t="shared" si="1"/>
        <v>0</v>
      </c>
      <c r="AA4" s="23">
        <v>0</v>
      </c>
      <c r="AB4" s="25">
        <f t="shared" si="2"/>
        <v>0</v>
      </c>
      <c r="AC4" s="26">
        <f t="shared" si="3"/>
        <v>0</v>
      </c>
      <c r="AD4" s="24">
        <f t="shared" si="4"/>
        <v>0</v>
      </c>
      <c r="AE4" s="27">
        <f t="shared" si="5"/>
        <v>0</v>
      </c>
      <c r="AF4" s="24">
        <f t="shared" si="6"/>
        <v>0</v>
      </c>
      <c r="AG4" s="43">
        <f t="shared" si="7"/>
        <v>46.405801999999994</v>
      </c>
      <c r="AH4" s="44">
        <v>5.77E-3</v>
      </c>
      <c r="AI4" s="43">
        <f t="shared" si="8"/>
        <v>28.872934000000001</v>
      </c>
      <c r="AJ4" s="44">
        <v>3.5899999999999999E-3</v>
      </c>
      <c r="AK4" s="43">
        <f t="shared" si="9"/>
        <v>0</v>
      </c>
      <c r="AL4" s="44">
        <v>0</v>
      </c>
      <c r="AM4" s="22">
        <v>0</v>
      </c>
      <c r="AN4" s="28">
        <v>0</v>
      </c>
      <c r="AO4" s="24">
        <f t="shared" si="10"/>
        <v>75.278735999999995</v>
      </c>
      <c r="AP4" s="26">
        <f t="shared" si="11"/>
        <v>9.3599999999999985E-3</v>
      </c>
      <c r="AQ4" s="24">
        <f t="shared" si="12"/>
        <v>75.278735999999995</v>
      </c>
      <c r="AR4" s="26">
        <f t="shared" si="13"/>
        <v>9.3599999999999985E-3</v>
      </c>
      <c r="AS4" s="25">
        <f t="shared" si="14"/>
        <v>0</v>
      </c>
      <c r="AT4" s="27">
        <f t="shared" si="15"/>
        <v>0</v>
      </c>
    </row>
    <row r="5" spans="1:46" x14ac:dyDescent="0.35">
      <c r="A5" s="36" t="s">
        <v>18</v>
      </c>
      <c r="B5" s="50" t="s">
        <v>11</v>
      </c>
      <c r="C5" s="38" t="s">
        <v>34</v>
      </c>
      <c r="D5" s="38" t="s">
        <v>82</v>
      </c>
      <c r="E5" s="50" t="s">
        <v>19</v>
      </c>
      <c r="F5" s="50" t="s">
        <v>16</v>
      </c>
      <c r="G5" s="40">
        <v>27252</v>
      </c>
      <c r="H5" s="38" t="s">
        <v>20</v>
      </c>
      <c r="I5" s="38" t="s">
        <v>10</v>
      </c>
      <c r="J5" s="38" t="s">
        <v>10</v>
      </c>
      <c r="K5" s="38" t="s">
        <v>17</v>
      </c>
      <c r="L5" s="38" t="s">
        <v>35</v>
      </c>
      <c r="M5" s="38" t="s">
        <v>78</v>
      </c>
      <c r="N5" s="52">
        <v>41925</v>
      </c>
      <c r="O5" s="42">
        <v>330</v>
      </c>
      <c r="P5" s="18">
        <v>404.5</v>
      </c>
      <c r="Q5" s="8">
        <v>500</v>
      </c>
      <c r="R5" s="22">
        <v>0</v>
      </c>
      <c r="S5" s="23">
        <v>0</v>
      </c>
      <c r="T5" s="22">
        <v>0</v>
      </c>
      <c r="U5" s="23">
        <v>0</v>
      </c>
      <c r="V5" s="24">
        <f t="shared" si="0"/>
        <v>0</v>
      </c>
      <c r="W5" s="23">
        <v>0</v>
      </c>
      <c r="X5" s="22">
        <v>0</v>
      </c>
      <c r="Y5" s="23">
        <v>0</v>
      </c>
      <c r="Z5" s="24">
        <f t="shared" si="1"/>
        <v>0</v>
      </c>
      <c r="AA5" s="23">
        <v>0</v>
      </c>
      <c r="AB5" s="25">
        <f t="shared" si="2"/>
        <v>0</v>
      </c>
      <c r="AC5" s="26">
        <f t="shared" si="3"/>
        <v>0</v>
      </c>
      <c r="AD5" s="24">
        <f t="shared" si="4"/>
        <v>0</v>
      </c>
      <c r="AE5" s="27">
        <f t="shared" si="5"/>
        <v>0</v>
      </c>
      <c r="AF5" s="24">
        <f t="shared" si="6"/>
        <v>0</v>
      </c>
      <c r="AG5" s="43">
        <f t="shared" si="7"/>
        <v>791.56605000000002</v>
      </c>
      <c r="AH5" s="44">
        <v>5.9300000000000004E-3</v>
      </c>
      <c r="AI5" s="43">
        <f t="shared" si="8"/>
        <v>0</v>
      </c>
      <c r="AJ5" s="44">
        <v>0</v>
      </c>
      <c r="AK5" s="43">
        <f t="shared" si="9"/>
        <v>0</v>
      </c>
      <c r="AL5" s="44">
        <v>0</v>
      </c>
      <c r="AM5" s="22">
        <v>0</v>
      </c>
      <c r="AN5" s="33">
        <v>0</v>
      </c>
      <c r="AO5" s="24">
        <f t="shared" si="10"/>
        <v>791.56605000000002</v>
      </c>
      <c r="AP5" s="26">
        <f t="shared" si="11"/>
        <v>5.9300000000000004E-3</v>
      </c>
      <c r="AQ5" s="24">
        <f t="shared" si="12"/>
        <v>791.56605000000002</v>
      </c>
      <c r="AR5" s="26">
        <f t="shared" si="13"/>
        <v>5.9300000000000004E-3</v>
      </c>
      <c r="AS5" s="25">
        <f t="shared" si="14"/>
        <v>0</v>
      </c>
      <c r="AT5" s="27">
        <f t="shared" si="15"/>
        <v>0</v>
      </c>
    </row>
    <row r="6" spans="1:46" x14ac:dyDescent="0.35">
      <c r="A6" s="36" t="s">
        <v>105</v>
      </c>
      <c r="B6" s="50" t="s">
        <v>11</v>
      </c>
      <c r="C6" s="38" t="s">
        <v>34</v>
      </c>
      <c r="D6" s="38" t="s">
        <v>77</v>
      </c>
      <c r="E6" s="50" t="s">
        <v>106</v>
      </c>
      <c r="F6" s="50" t="s">
        <v>16</v>
      </c>
      <c r="G6" s="40">
        <v>23956</v>
      </c>
      <c r="H6" s="38" t="s">
        <v>107</v>
      </c>
      <c r="I6" s="38" t="s">
        <v>10</v>
      </c>
      <c r="J6" s="38" t="s">
        <v>10</v>
      </c>
      <c r="K6" s="38" t="s">
        <v>85</v>
      </c>
      <c r="L6" s="38" t="s">
        <v>86</v>
      </c>
      <c r="M6" s="38" t="s">
        <v>78</v>
      </c>
      <c r="N6" s="52">
        <v>41995</v>
      </c>
      <c r="O6" s="42">
        <v>50</v>
      </c>
      <c r="P6" s="18">
        <v>404.5</v>
      </c>
      <c r="Q6" s="8">
        <v>500</v>
      </c>
      <c r="R6" s="22">
        <v>0</v>
      </c>
      <c r="S6" s="23">
        <v>0</v>
      </c>
      <c r="T6" s="22">
        <v>0</v>
      </c>
      <c r="U6" s="23">
        <v>0</v>
      </c>
      <c r="V6" s="24">
        <f t="shared" si="0"/>
        <v>0</v>
      </c>
      <c r="W6" s="23">
        <v>0</v>
      </c>
      <c r="X6" s="22">
        <v>0</v>
      </c>
      <c r="Y6" s="23">
        <v>0</v>
      </c>
      <c r="Z6" s="24">
        <f t="shared" si="1"/>
        <v>0</v>
      </c>
      <c r="AA6" s="23">
        <v>0</v>
      </c>
      <c r="AB6" s="25">
        <f t="shared" si="2"/>
        <v>0</v>
      </c>
      <c r="AC6" s="26">
        <f t="shared" si="3"/>
        <v>0</v>
      </c>
      <c r="AD6" s="24">
        <f t="shared" si="4"/>
        <v>0</v>
      </c>
      <c r="AE6" s="27">
        <f t="shared" si="5"/>
        <v>0</v>
      </c>
      <c r="AF6" s="24">
        <f t="shared" si="6"/>
        <v>0</v>
      </c>
      <c r="AG6" s="43">
        <f t="shared" si="7"/>
        <v>119.93424999999999</v>
      </c>
      <c r="AH6" s="44">
        <v>5.9300000000000004E-3</v>
      </c>
      <c r="AI6" s="43">
        <f t="shared" si="8"/>
        <v>0</v>
      </c>
      <c r="AJ6" s="44">
        <v>0</v>
      </c>
      <c r="AK6" s="43">
        <f t="shared" si="9"/>
        <v>0</v>
      </c>
      <c r="AL6" s="44">
        <v>0</v>
      </c>
      <c r="AM6" s="22">
        <v>0</v>
      </c>
      <c r="AN6" s="33">
        <v>0</v>
      </c>
      <c r="AO6" s="24">
        <f t="shared" si="10"/>
        <v>119.93424999999999</v>
      </c>
      <c r="AP6" s="26">
        <f t="shared" si="11"/>
        <v>5.9299999999999995E-3</v>
      </c>
      <c r="AQ6" s="24">
        <f t="shared" si="12"/>
        <v>119.93424999999999</v>
      </c>
      <c r="AR6" s="26">
        <f t="shared" si="13"/>
        <v>5.9299999999999995E-3</v>
      </c>
      <c r="AS6" s="25">
        <f t="shared" si="14"/>
        <v>0</v>
      </c>
      <c r="AT6" s="27">
        <f t="shared" si="15"/>
        <v>0</v>
      </c>
    </row>
    <row r="7" spans="1:46" x14ac:dyDescent="0.35">
      <c r="A7" s="36" t="s">
        <v>105</v>
      </c>
      <c r="B7" s="50" t="s">
        <v>89</v>
      </c>
      <c r="C7" s="38" t="s">
        <v>34</v>
      </c>
      <c r="D7" s="38" t="s">
        <v>77</v>
      </c>
      <c r="E7" s="50" t="s">
        <v>106</v>
      </c>
      <c r="F7" s="50" t="s">
        <v>16</v>
      </c>
      <c r="G7" s="40">
        <v>23956</v>
      </c>
      <c r="H7" s="38" t="s">
        <v>107</v>
      </c>
      <c r="I7" s="38" t="s">
        <v>10</v>
      </c>
      <c r="J7" s="38" t="s">
        <v>10</v>
      </c>
      <c r="K7" s="38" t="s">
        <v>85</v>
      </c>
      <c r="L7" s="38" t="s">
        <v>86</v>
      </c>
      <c r="M7" s="38" t="s">
        <v>78</v>
      </c>
      <c r="N7" s="52">
        <v>42359</v>
      </c>
      <c r="O7" s="42">
        <v>20</v>
      </c>
      <c r="P7" s="18">
        <v>417.62</v>
      </c>
      <c r="Q7" s="8">
        <v>500</v>
      </c>
      <c r="R7" s="22">
        <v>0</v>
      </c>
      <c r="S7" s="23">
        <v>0</v>
      </c>
      <c r="T7" s="22">
        <v>0</v>
      </c>
      <c r="U7" s="23">
        <v>0</v>
      </c>
      <c r="V7" s="24">
        <f t="shared" si="0"/>
        <v>0</v>
      </c>
      <c r="W7" s="23">
        <v>0</v>
      </c>
      <c r="X7" s="22">
        <v>0</v>
      </c>
      <c r="Y7" s="23">
        <v>0</v>
      </c>
      <c r="Z7" s="24">
        <f t="shared" si="1"/>
        <v>0</v>
      </c>
      <c r="AA7" s="23">
        <v>0</v>
      </c>
      <c r="AB7" s="25">
        <f t="shared" si="2"/>
        <v>0</v>
      </c>
      <c r="AC7" s="26">
        <f t="shared" si="3"/>
        <v>0</v>
      </c>
      <c r="AD7" s="24">
        <f t="shared" si="4"/>
        <v>0</v>
      </c>
      <c r="AE7" s="27">
        <f t="shared" si="5"/>
        <v>0</v>
      </c>
      <c r="AF7" s="24">
        <f t="shared" si="6"/>
        <v>0</v>
      </c>
      <c r="AG7" s="43">
        <f t="shared" si="7"/>
        <v>52.954216000000002</v>
      </c>
      <c r="AH7" s="45">
        <v>6.3400000000000001E-3</v>
      </c>
      <c r="AI7" s="43">
        <f t="shared" si="8"/>
        <v>18.37528</v>
      </c>
      <c r="AJ7" s="46">
        <v>2.2000000000000001E-3</v>
      </c>
      <c r="AK7" s="43">
        <f t="shared" si="9"/>
        <v>0</v>
      </c>
      <c r="AL7" s="44">
        <v>0</v>
      </c>
      <c r="AM7" s="22">
        <v>0</v>
      </c>
      <c r="AN7" s="28">
        <v>0</v>
      </c>
      <c r="AO7" s="24">
        <f>Z7+AG7+AI7+AK7</f>
        <v>71.329496000000006</v>
      </c>
      <c r="AP7" s="26">
        <f>AO7/(O7*P7)</f>
        <v>8.5400000000000007E-3</v>
      </c>
      <c r="AQ7" s="24">
        <f>AO7+AB7</f>
        <v>71.329496000000006</v>
      </c>
      <c r="AR7" s="26">
        <f>AQ7/(P7*O7)</f>
        <v>8.5400000000000007E-3</v>
      </c>
      <c r="AS7" s="25">
        <f>V7</f>
        <v>0</v>
      </c>
      <c r="AT7" s="27">
        <f>AS7/(P7*O7)</f>
        <v>0</v>
      </c>
    </row>
    <row r="8" spans="1:46" x14ac:dyDescent="0.35">
      <c r="A8" s="36" t="s">
        <v>22</v>
      </c>
      <c r="B8" s="50" t="s">
        <v>11</v>
      </c>
      <c r="C8" s="38" t="s">
        <v>34</v>
      </c>
      <c r="D8" s="38" t="s">
        <v>82</v>
      </c>
      <c r="E8" s="50" t="s">
        <v>19</v>
      </c>
      <c r="F8" s="50" t="s">
        <v>108</v>
      </c>
      <c r="G8" s="40">
        <v>26514</v>
      </c>
      <c r="H8" s="38" t="s">
        <v>23</v>
      </c>
      <c r="I8" s="38" t="s">
        <v>10</v>
      </c>
      <c r="J8" s="38" t="s">
        <v>10</v>
      </c>
      <c r="K8" s="38" t="s">
        <v>17</v>
      </c>
      <c r="L8" s="38" t="s">
        <v>35</v>
      </c>
      <c r="M8" s="38" t="s">
        <v>78</v>
      </c>
      <c r="N8" s="52">
        <v>41925</v>
      </c>
      <c r="O8" s="42">
        <v>330</v>
      </c>
      <c r="P8" s="18">
        <v>404.5</v>
      </c>
      <c r="Q8" s="8">
        <v>500</v>
      </c>
      <c r="R8" s="22">
        <v>0</v>
      </c>
      <c r="S8" s="23">
        <v>0</v>
      </c>
      <c r="T8" s="22">
        <v>0</v>
      </c>
      <c r="U8" s="23">
        <v>0</v>
      </c>
      <c r="V8" s="24">
        <f t="shared" si="0"/>
        <v>0</v>
      </c>
      <c r="W8" s="23">
        <v>0</v>
      </c>
      <c r="X8" s="22">
        <v>0</v>
      </c>
      <c r="Y8" s="23">
        <v>0</v>
      </c>
      <c r="Z8" s="24">
        <f t="shared" si="1"/>
        <v>0</v>
      </c>
      <c r="AA8" s="23">
        <v>0</v>
      </c>
      <c r="AB8" s="25">
        <f t="shared" si="2"/>
        <v>0</v>
      </c>
      <c r="AC8" s="26">
        <f t="shared" si="3"/>
        <v>0</v>
      </c>
      <c r="AD8" s="24">
        <f t="shared" si="4"/>
        <v>0</v>
      </c>
      <c r="AE8" s="27">
        <f t="shared" si="5"/>
        <v>0</v>
      </c>
      <c r="AF8" s="24">
        <f t="shared" si="6"/>
        <v>0</v>
      </c>
      <c r="AG8" s="43">
        <f t="shared" si="7"/>
        <v>791.56605000000002</v>
      </c>
      <c r="AH8" s="44">
        <v>5.9300000000000004E-3</v>
      </c>
      <c r="AI8" s="43">
        <f t="shared" si="8"/>
        <v>0</v>
      </c>
      <c r="AJ8" s="44">
        <v>0</v>
      </c>
      <c r="AK8" s="43">
        <f t="shared" si="9"/>
        <v>0</v>
      </c>
      <c r="AL8" s="44">
        <v>0</v>
      </c>
      <c r="AM8" s="22">
        <v>0</v>
      </c>
      <c r="AN8" s="33">
        <v>0</v>
      </c>
      <c r="AO8" s="24">
        <f t="shared" si="10"/>
        <v>791.56605000000002</v>
      </c>
      <c r="AP8" s="26">
        <f t="shared" si="11"/>
        <v>5.9300000000000004E-3</v>
      </c>
      <c r="AQ8" s="24">
        <f t="shared" si="12"/>
        <v>791.56605000000002</v>
      </c>
      <c r="AR8" s="26">
        <f t="shared" si="13"/>
        <v>5.9300000000000004E-3</v>
      </c>
      <c r="AS8" s="25">
        <f t="shared" si="14"/>
        <v>0</v>
      </c>
      <c r="AT8" s="27">
        <f t="shared" si="15"/>
        <v>0</v>
      </c>
    </row>
    <row r="9" spans="1:46" x14ac:dyDescent="0.35">
      <c r="A9" s="36" t="s">
        <v>109</v>
      </c>
      <c r="B9" s="50" t="s">
        <v>80</v>
      </c>
      <c r="C9" s="38" t="s">
        <v>34</v>
      </c>
      <c r="D9" s="38" t="s">
        <v>77</v>
      </c>
      <c r="E9" s="50" t="s">
        <v>110</v>
      </c>
      <c r="F9" s="50" t="s">
        <v>111</v>
      </c>
      <c r="G9" s="40">
        <v>29037</v>
      </c>
      <c r="H9" s="38" t="s">
        <v>112</v>
      </c>
      <c r="I9" s="38" t="s">
        <v>10</v>
      </c>
      <c r="J9" s="38" t="s">
        <v>10</v>
      </c>
      <c r="K9" s="38" t="s">
        <v>113</v>
      </c>
      <c r="L9" s="38" t="s">
        <v>114</v>
      </c>
      <c r="M9" s="38" t="s">
        <v>78</v>
      </c>
      <c r="N9" s="52">
        <v>42702</v>
      </c>
      <c r="O9" s="42">
        <v>92</v>
      </c>
      <c r="P9" s="18">
        <v>418.36</v>
      </c>
      <c r="Q9" s="8">
        <v>500</v>
      </c>
      <c r="R9" s="22">
        <v>0</v>
      </c>
      <c r="S9" s="23">
        <v>0</v>
      </c>
      <c r="T9" s="22">
        <v>0</v>
      </c>
      <c r="U9" s="23">
        <v>0</v>
      </c>
      <c r="V9" s="24">
        <f t="shared" si="0"/>
        <v>0</v>
      </c>
      <c r="W9" s="23">
        <v>0</v>
      </c>
      <c r="X9" s="22">
        <v>0</v>
      </c>
      <c r="Y9" s="23">
        <v>0</v>
      </c>
      <c r="Z9" s="24">
        <f t="shared" si="1"/>
        <v>0</v>
      </c>
      <c r="AA9" s="23">
        <v>0</v>
      </c>
      <c r="AB9" s="25">
        <f t="shared" si="2"/>
        <v>0</v>
      </c>
      <c r="AC9" s="26">
        <f t="shared" si="3"/>
        <v>0</v>
      </c>
      <c r="AD9" s="24">
        <f t="shared" si="4"/>
        <v>0</v>
      </c>
      <c r="AE9" s="27">
        <f t="shared" si="5"/>
        <v>0</v>
      </c>
      <c r="AF9" s="24">
        <f t="shared" si="6"/>
        <v>0</v>
      </c>
      <c r="AG9" s="43">
        <f t="shared" si="7"/>
        <v>248.63971520000001</v>
      </c>
      <c r="AH9" s="47">
        <v>6.4599999999999996E-3</v>
      </c>
      <c r="AI9" s="43">
        <f>AJ9*P9*O9</f>
        <v>163.19386880000002</v>
      </c>
      <c r="AJ9" s="46">
        <v>4.2399999999999998E-3</v>
      </c>
      <c r="AK9" s="43">
        <f>AL9*P9*O9</f>
        <v>0</v>
      </c>
      <c r="AL9" s="44">
        <v>0</v>
      </c>
      <c r="AM9" s="22">
        <v>0</v>
      </c>
      <c r="AN9" s="28">
        <v>0</v>
      </c>
      <c r="AO9" s="24">
        <f>Z9+AG9+AI9+AK9</f>
        <v>411.83358400000003</v>
      </c>
      <c r="AP9" s="26">
        <f>AO9/(O9*P9)</f>
        <v>1.0699999999999999E-2</v>
      </c>
      <c r="AQ9" s="24">
        <f>AO9+AB9</f>
        <v>411.83358400000003</v>
      </c>
      <c r="AR9" s="26">
        <f>AQ9/(P9*O9)</f>
        <v>1.0699999999999999E-2</v>
      </c>
      <c r="AS9" s="25">
        <f>V9</f>
        <v>0</v>
      </c>
      <c r="AT9" s="27">
        <f>AS9/(P9*O9)</f>
        <v>0</v>
      </c>
    </row>
    <row r="10" spans="1:46" x14ac:dyDescent="0.35">
      <c r="A10" s="36" t="s">
        <v>109</v>
      </c>
      <c r="B10" s="50" t="s">
        <v>83</v>
      </c>
      <c r="C10" s="38" t="s">
        <v>34</v>
      </c>
      <c r="D10" s="38" t="s">
        <v>77</v>
      </c>
      <c r="E10" s="50" t="s">
        <v>110</v>
      </c>
      <c r="F10" s="50" t="s">
        <v>111</v>
      </c>
      <c r="G10" s="40">
        <v>29037</v>
      </c>
      <c r="H10" s="38" t="s">
        <v>112</v>
      </c>
      <c r="I10" s="38" t="s">
        <v>10</v>
      </c>
      <c r="J10" s="38" t="s">
        <v>10</v>
      </c>
      <c r="K10" s="38" t="s">
        <v>113</v>
      </c>
      <c r="L10" s="38" t="s">
        <v>114</v>
      </c>
      <c r="M10" s="38" t="s">
        <v>78</v>
      </c>
      <c r="N10" s="52">
        <v>42702</v>
      </c>
      <c r="O10" s="42">
        <v>333</v>
      </c>
      <c r="P10" s="18">
        <v>402.13</v>
      </c>
      <c r="Q10" s="8">
        <v>500</v>
      </c>
      <c r="R10" s="22">
        <v>0</v>
      </c>
      <c r="S10" s="23">
        <v>0</v>
      </c>
      <c r="T10" s="22">
        <v>0</v>
      </c>
      <c r="U10" s="23">
        <v>0</v>
      </c>
      <c r="V10" s="24">
        <f t="shared" si="0"/>
        <v>0</v>
      </c>
      <c r="W10" s="23">
        <v>0</v>
      </c>
      <c r="X10" s="22">
        <v>0</v>
      </c>
      <c r="Y10" s="23">
        <v>0</v>
      </c>
      <c r="Z10" s="24">
        <f t="shared" si="1"/>
        <v>0</v>
      </c>
      <c r="AA10" s="23">
        <v>0</v>
      </c>
      <c r="AB10" s="25">
        <f t="shared" si="2"/>
        <v>0</v>
      </c>
      <c r="AC10" s="26">
        <f t="shared" si="3"/>
        <v>0</v>
      </c>
      <c r="AD10" s="24">
        <f t="shared" si="4"/>
        <v>0</v>
      </c>
      <c r="AE10" s="27">
        <f t="shared" si="5"/>
        <v>0</v>
      </c>
      <c r="AF10" s="24">
        <f t="shared" si="6"/>
        <v>0</v>
      </c>
      <c r="AG10" s="43">
        <f t="shared" si="7"/>
        <v>772.65660329999992</v>
      </c>
      <c r="AH10" s="44">
        <v>5.77E-3</v>
      </c>
      <c r="AI10" s="43">
        <f t="shared" si="8"/>
        <v>188.8120989</v>
      </c>
      <c r="AJ10" s="46">
        <v>1.41E-3</v>
      </c>
      <c r="AK10" s="43">
        <f t="shared" si="9"/>
        <v>0</v>
      </c>
      <c r="AL10" s="44">
        <v>0</v>
      </c>
      <c r="AM10" s="22">
        <v>0</v>
      </c>
      <c r="AN10" s="28">
        <v>0</v>
      </c>
      <c r="AO10" s="24">
        <f t="shared" ref="AO10" si="16">Z10+AG10+AI10+AK10</f>
        <v>961.46870219999994</v>
      </c>
      <c r="AP10" s="26">
        <f t="shared" ref="AP10" si="17">AO10/(O10*P10)</f>
        <v>7.1799999999999989E-3</v>
      </c>
      <c r="AQ10" s="24">
        <f t="shared" ref="AQ10" si="18">AO10+AB10</f>
        <v>961.46870219999994</v>
      </c>
      <c r="AR10" s="26">
        <f t="shared" ref="AR10" si="19">AQ10/(P10*O10)</f>
        <v>7.1799999999999989E-3</v>
      </c>
      <c r="AS10" s="25">
        <f t="shared" ref="AS10" si="20">V10</f>
        <v>0</v>
      </c>
      <c r="AT10" s="27">
        <f t="shared" ref="AT10" si="21">AS10/(P10*O10)</f>
        <v>0</v>
      </c>
    </row>
    <row r="11" spans="1:46" x14ac:dyDescent="0.35">
      <c r="A11" s="36" t="s">
        <v>115</v>
      </c>
      <c r="B11" s="50" t="s">
        <v>84</v>
      </c>
      <c r="C11" s="38" t="s">
        <v>34</v>
      </c>
      <c r="D11" s="38" t="s">
        <v>77</v>
      </c>
      <c r="E11" s="50" t="s">
        <v>116</v>
      </c>
      <c r="F11" s="50" t="s">
        <v>15</v>
      </c>
      <c r="G11" s="40">
        <v>24408</v>
      </c>
      <c r="H11" s="38" t="s">
        <v>117</v>
      </c>
      <c r="I11" s="38" t="s">
        <v>10</v>
      </c>
      <c r="J11" s="38" t="s">
        <v>10</v>
      </c>
      <c r="K11" s="38" t="s">
        <v>118</v>
      </c>
      <c r="L11" s="38" t="s">
        <v>119</v>
      </c>
      <c r="M11" s="38" t="s">
        <v>78</v>
      </c>
      <c r="N11" s="52">
        <v>43091</v>
      </c>
      <c r="O11" s="42">
        <v>128</v>
      </c>
      <c r="P11" s="18">
        <v>401.2</v>
      </c>
      <c r="Q11" s="8">
        <v>500</v>
      </c>
      <c r="R11" s="22">
        <v>0</v>
      </c>
      <c r="S11" s="23">
        <v>0</v>
      </c>
      <c r="T11" s="22">
        <v>0</v>
      </c>
      <c r="U11" s="23">
        <v>0</v>
      </c>
      <c r="V11" s="24">
        <f t="shared" si="0"/>
        <v>0</v>
      </c>
      <c r="W11" s="23">
        <v>0</v>
      </c>
      <c r="X11" s="22">
        <v>0</v>
      </c>
      <c r="Y11" s="23">
        <v>0</v>
      </c>
      <c r="Z11" s="24">
        <f t="shared" si="1"/>
        <v>0</v>
      </c>
      <c r="AA11" s="23">
        <v>0</v>
      </c>
      <c r="AB11" s="25">
        <f t="shared" si="2"/>
        <v>0</v>
      </c>
      <c r="AC11" s="26">
        <f t="shared" si="3"/>
        <v>0</v>
      </c>
      <c r="AD11" s="24">
        <f t="shared" si="4"/>
        <v>0</v>
      </c>
      <c r="AE11" s="27">
        <f t="shared" si="5"/>
        <v>0</v>
      </c>
      <c r="AF11" s="24">
        <f t="shared" si="6"/>
        <v>0</v>
      </c>
      <c r="AG11" s="43">
        <f t="shared" si="7"/>
        <v>322.500608</v>
      </c>
      <c r="AH11" s="47">
        <v>6.28E-3</v>
      </c>
      <c r="AI11" s="43">
        <f>AJ11*P11*O11</f>
        <v>448.31692799999996</v>
      </c>
      <c r="AJ11" s="46">
        <v>8.7299999999999999E-3</v>
      </c>
      <c r="AK11" s="43">
        <f t="shared" ref="AK11:AK18" si="22">AL11*P11*O11</f>
        <v>0</v>
      </c>
      <c r="AL11" s="44">
        <v>0</v>
      </c>
      <c r="AM11" s="22">
        <v>0</v>
      </c>
      <c r="AN11" s="28">
        <v>0</v>
      </c>
      <c r="AO11" s="24">
        <f>Z11+AG11+AI11+AK11</f>
        <v>770.81753600000002</v>
      </c>
      <c r="AP11" s="26">
        <f>AO11/(O11*P11)</f>
        <v>1.5010000000000001E-2</v>
      </c>
      <c r="AQ11" s="24">
        <f>AO11+AB11</f>
        <v>770.81753600000002</v>
      </c>
      <c r="AR11" s="26">
        <f>AQ11/(P11*O11)</f>
        <v>1.5010000000000001E-2</v>
      </c>
      <c r="AS11" s="25">
        <f>V11</f>
        <v>0</v>
      </c>
      <c r="AT11" s="27">
        <f>AS11/(P11*O11)</f>
        <v>0</v>
      </c>
    </row>
    <row r="12" spans="1:46" x14ac:dyDescent="0.35">
      <c r="A12" s="36" t="s">
        <v>115</v>
      </c>
      <c r="B12" s="50" t="s">
        <v>12</v>
      </c>
      <c r="C12" s="38" t="s">
        <v>34</v>
      </c>
      <c r="D12" s="38" t="s">
        <v>77</v>
      </c>
      <c r="E12" s="50" t="s">
        <v>116</v>
      </c>
      <c r="F12" s="50" t="s">
        <v>15</v>
      </c>
      <c r="G12" s="40">
        <v>24408</v>
      </c>
      <c r="H12" s="38" t="s">
        <v>117</v>
      </c>
      <c r="I12" s="38" t="s">
        <v>10</v>
      </c>
      <c r="J12" s="38" t="s">
        <v>10</v>
      </c>
      <c r="K12" s="38" t="s">
        <v>118</v>
      </c>
      <c r="L12" s="38" t="s">
        <v>119</v>
      </c>
      <c r="M12" s="38" t="s">
        <v>78</v>
      </c>
      <c r="N12" s="52">
        <v>43805</v>
      </c>
      <c r="O12" s="42">
        <v>116</v>
      </c>
      <c r="P12" s="18">
        <v>415.45</v>
      </c>
      <c r="Q12" s="8">
        <v>500</v>
      </c>
      <c r="R12" s="22">
        <v>0</v>
      </c>
      <c r="S12" s="23">
        <v>0</v>
      </c>
      <c r="T12" s="22">
        <v>0</v>
      </c>
      <c r="U12" s="23">
        <v>0</v>
      </c>
      <c r="V12" s="24">
        <f t="shared" si="0"/>
        <v>0</v>
      </c>
      <c r="W12" s="23">
        <v>0</v>
      </c>
      <c r="X12" s="22">
        <v>0</v>
      </c>
      <c r="Y12" s="23">
        <v>0</v>
      </c>
      <c r="Z12" s="24">
        <f t="shared" si="1"/>
        <v>0</v>
      </c>
      <c r="AA12" s="23">
        <v>0</v>
      </c>
      <c r="AB12" s="25">
        <f t="shared" si="2"/>
        <v>0</v>
      </c>
      <c r="AC12" s="26">
        <f t="shared" si="3"/>
        <v>0</v>
      </c>
      <c r="AD12" s="24">
        <f t="shared" si="4"/>
        <v>0</v>
      </c>
      <c r="AE12" s="27">
        <f t="shared" si="5"/>
        <v>0</v>
      </c>
      <c r="AF12" s="24">
        <f t="shared" si="6"/>
        <v>0</v>
      </c>
      <c r="AG12" s="43">
        <f t="shared" si="7"/>
        <v>231.80448200000001</v>
      </c>
      <c r="AH12" s="47">
        <v>4.81E-3</v>
      </c>
      <c r="AI12" s="43">
        <f t="shared" ref="AI12:AI17" si="23">AJ12*P12*O12</f>
        <v>368.67032999999998</v>
      </c>
      <c r="AJ12" s="46">
        <v>7.6499999999999997E-3</v>
      </c>
      <c r="AK12" s="43">
        <f t="shared" si="22"/>
        <v>0</v>
      </c>
      <c r="AL12" s="44">
        <v>0</v>
      </c>
      <c r="AM12" s="22">
        <v>0</v>
      </c>
      <c r="AN12" s="28">
        <v>0</v>
      </c>
      <c r="AO12" s="24">
        <f t="shared" ref="AO12:AO17" si="24">Z12+AG12+AI12+AK12</f>
        <v>600.47481199999993</v>
      </c>
      <c r="AP12" s="26">
        <f t="shared" ref="AP12:AP17" si="25">AO12/(O12*P12)</f>
        <v>1.2459999999999999E-2</v>
      </c>
      <c r="AQ12" s="24">
        <f t="shared" ref="AQ12:AQ17" si="26">AO12+AB12</f>
        <v>600.47481199999993</v>
      </c>
      <c r="AR12" s="26">
        <f t="shared" ref="AR12:AR17" si="27">AQ12/(P12*O12)</f>
        <v>1.2459999999999999E-2</v>
      </c>
      <c r="AS12" s="25">
        <f t="shared" ref="AS12:AS17" si="28">V12</f>
        <v>0</v>
      </c>
      <c r="AT12" s="27">
        <f t="shared" ref="AT12:AT17" si="29">AS12/(P12*O12)</f>
        <v>0</v>
      </c>
    </row>
    <row r="13" spans="1:46" x14ac:dyDescent="0.35">
      <c r="A13" s="36" t="s">
        <v>115</v>
      </c>
      <c r="B13" s="50" t="s">
        <v>88</v>
      </c>
      <c r="C13" s="38" t="s">
        <v>34</v>
      </c>
      <c r="D13" s="38" t="s">
        <v>77</v>
      </c>
      <c r="E13" s="50" t="s">
        <v>116</v>
      </c>
      <c r="F13" s="50" t="s">
        <v>15</v>
      </c>
      <c r="G13" s="40">
        <v>24408</v>
      </c>
      <c r="H13" s="38" t="s">
        <v>117</v>
      </c>
      <c r="I13" s="38" t="s">
        <v>10</v>
      </c>
      <c r="J13" s="38" t="s">
        <v>10</v>
      </c>
      <c r="K13" s="38" t="s">
        <v>118</v>
      </c>
      <c r="L13" s="38" t="s">
        <v>119</v>
      </c>
      <c r="M13" s="38" t="s">
        <v>78</v>
      </c>
      <c r="N13" s="52">
        <v>43455</v>
      </c>
      <c r="O13" s="42">
        <v>172</v>
      </c>
      <c r="P13" s="18">
        <v>388.92</v>
      </c>
      <c r="Q13" s="8">
        <v>500</v>
      </c>
      <c r="R13" s="22">
        <v>0</v>
      </c>
      <c r="S13" s="23">
        <v>0</v>
      </c>
      <c r="T13" s="22">
        <v>0</v>
      </c>
      <c r="U13" s="23">
        <v>0</v>
      </c>
      <c r="V13" s="24">
        <f t="shared" si="0"/>
        <v>0</v>
      </c>
      <c r="W13" s="23">
        <v>0</v>
      </c>
      <c r="X13" s="22">
        <v>0</v>
      </c>
      <c r="Y13" s="23">
        <v>0</v>
      </c>
      <c r="Z13" s="24">
        <f t="shared" si="1"/>
        <v>0</v>
      </c>
      <c r="AA13" s="23">
        <v>0</v>
      </c>
      <c r="AB13" s="25">
        <f t="shared" si="2"/>
        <v>0</v>
      </c>
      <c r="AC13" s="26">
        <f t="shared" si="3"/>
        <v>0</v>
      </c>
      <c r="AD13" s="24">
        <f t="shared" si="4"/>
        <v>0</v>
      </c>
      <c r="AE13" s="27">
        <f t="shared" si="5"/>
        <v>0</v>
      </c>
      <c r="AF13" s="24">
        <f t="shared" si="6"/>
        <v>0</v>
      </c>
      <c r="AG13" s="43">
        <f t="shared" si="7"/>
        <v>448.19140800000002</v>
      </c>
      <c r="AH13" s="45">
        <v>6.7000000000000002E-3</v>
      </c>
      <c r="AI13" s="43">
        <f t="shared" si="23"/>
        <v>381.96611040000005</v>
      </c>
      <c r="AJ13" s="46">
        <v>5.7099999999999998E-3</v>
      </c>
      <c r="AK13" s="43">
        <f t="shared" si="22"/>
        <v>0</v>
      </c>
      <c r="AL13" s="44">
        <v>0</v>
      </c>
      <c r="AM13" s="22">
        <v>0</v>
      </c>
      <c r="AN13" s="28">
        <v>0</v>
      </c>
      <c r="AO13" s="24">
        <f>Z13+AG13+AI13+AK13</f>
        <v>830.15751840000007</v>
      </c>
      <c r="AP13" s="26">
        <f>AO13/(O13*P13)</f>
        <v>1.2410000000000001E-2</v>
      </c>
      <c r="AQ13" s="24">
        <f>AO13+AB13</f>
        <v>830.15751840000007</v>
      </c>
      <c r="AR13" s="26">
        <f>AQ13/(P13*O13)</f>
        <v>1.2410000000000001E-2</v>
      </c>
      <c r="AS13" s="25">
        <f>V13</f>
        <v>0</v>
      </c>
      <c r="AT13" s="27">
        <f>AS13/(P13*O13)</f>
        <v>0</v>
      </c>
    </row>
    <row r="14" spans="1:46" x14ac:dyDescent="0.35">
      <c r="A14" s="36" t="s">
        <v>25</v>
      </c>
      <c r="B14" s="50" t="s">
        <v>13</v>
      </c>
      <c r="C14" s="38" t="s">
        <v>34</v>
      </c>
      <c r="D14" s="38" t="s">
        <v>77</v>
      </c>
      <c r="E14" s="50" t="s">
        <v>21</v>
      </c>
      <c r="F14" s="50" t="s">
        <v>15</v>
      </c>
      <c r="G14" s="40">
        <v>28772</v>
      </c>
      <c r="H14" s="38" t="s">
        <v>26</v>
      </c>
      <c r="I14" s="38" t="s">
        <v>10</v>
      </c>
      <c r="J14" s="38" t="s">
        <v>10</v>
      </c>
      <c r="K14" s="38" t="s">
        <v>27</v>
      </c>
      <c r="L14" s="38" t="s">
        <v>36</v>
      </c>
      <c r="M14" s="38" t="s">
        <v>78</v>
      </c>
      <c r="N14" s="52">
        <v>43298</v>
      </c>
      <c r="O14" s="42">
        <v>160</v>
      </c>
      <c r="P14" s="18">
        <v>419.31</v>
      </c>
      <c r="Q14" s="8">
        <v>500</v>
      </c>
      <c r="R14" s="22">
        <v>0</v>
      </c>
      <c r="S14" s="23">
        <v>0</v>
      </c>
      <c r="T14" s="22">
        <v>0</v>
      </c>
      <c r="U14" s="23">
        <v>0</v>
      </c>
      <c r="V14" s="24">
        <f t="shared" si="0"/>
        <v>0</v>
      </c>
      <c r="W14" s="23">
        <v>0</v>
      </c>
      <c r="X14" s="22">
        <v>0</v>
      </c>
      <c r="Y14" s="23">
        <v>0</v>
      </c>
      <c r="Z14" s="24">
        <f t="shared" si="1"/>
        <v>0</v>
      </c>
      <c r="AA14" s="23">
        <v>0</v>
      </c>
      <c r="AB14" s="25">
        <f t="shared" si="2"/>
        <v>0</v>
      </c>
      <c r="AC14" s="26">
        <f t="shared" si="3"/>
        <v>0</v>
      </c>
      <c r="AD14" s="24">
        <f t="shared" si="4"/>
        <v>0</v>
      </c>
      <c r="AE14" s="27">
        <f t="shared" si="5"/>
        <v>0</v>
      </c>
      <c r="AF14" s="24">
        <f t="shared" si="6"/>
        <v>0</v>
      </c>
      <c r="AG14" s="43">
        <f t="shared" si="7"/>
        <v>339.47337600000003</v>
      </c>
      <c r="AH14" s="47">
        <v>5.0600000000000003E-3</v>
      </c>
      <c r="AI14" s="43">
        <f t="shared" si="23"/>
        <v>232.80091200000001</v>
      </c>
      <c r="AJ14" s="46">
        <v>3.47E-3</v>
      </c>
      <c r="AK14" s="43">
        <f t="shared" si="22"/>
        <v>0</v>
      </c>
      <c r="AL14" s="44">
        <v>0</v>
      </c>
      <c r="AM14" s="22">
        <v>0</v>
      </c>
      <c r="AN14" s="33">
        <v>0</v>
      </c>
      <c r="AO14" s="24">
        <f>Z14+AG14+AI14+AK14</f>
        <v>572.27428800000007</v>
      </c>
      <c r="AP14" s="26">
        <f>AO14/(O14*P14)</f>
        <v>8.5300000000000011E-3</v>
      </c>
      <c r="AQ14" s="24">
        <f>AO14+AB14</f>
        <v>572.27428800000007</v>
      </c>
      <c r="AR14" s="26">
        <f>AQ14/(P14*O14)</f>
        <v>8.5300000000000011E-3</v>
      </c>
      <c r="AS14" s="25">
        <f>V14</f>
        <v>0</v>
      </c>
      <c r="AT14" s="27">
        <f>AS14/(P14*O14)</f>
        <v>0</v>
      </c>
    </row>
    <row r="15" spans="1:46" x14ac:dyDescent="0.35">
      <c r="A15" s="36" t="s">
        <v>28</v>
      </c>
      <c r="B15" s="50" t="s">
        <v>12</v>
      </c>
      <c r="C15" s="38" t="s">
        <v>34</v>
      </c>
      <c r="D15" s="38" t="s">
        <v>37</v>
      </c>
      <c r="E15" s="50" t="s">
        <v>29</v>
      </c>
      <c r="F15" s="50" t="s">
        <v>14</v>
      </c>
      <c r="G15" s="40">
        <v>17009</v>
      </c>
      <c r="H15" s="38" t="s">
        <v>30</v>
      </c>
      <c r="I15" s="38" t="s">
        <v>10</v>
      </c>
      <c r="J15" s="38" t="s">
        <v>10</v>
      </c>
      <c r="K15" s="38" t="s">
        <v>24</v>
      </c>
      <c r="L15" s="38" t="s">
        <v>38</v>
      </c>
      <c r="M15" s="38" t="s">
        <v>78</v>
      </c>
      <c r="N15" s="52">
        <v>43661</v>
      </c>
      <c r="O15" s="42">
        <v>240</v>
      </c>
      <c r="P15" s="18">
        <v>415.45</v>
      </c>
      <c r="Q15" s="8">
        <v>500</v>
      </c>
      <c r="R15" s="22">
        <v>0</v>
      </c>
      <c r="S15" s="23">
        <v>0</v>
      </c>
      <c r="T15" s="22">
        <v>0</v>
      </c>
      <c r="U15" s="23">
        <v>0</v>
      </c>
      <c r="V15" s="24">
        <f t="shared" si="0"/>
        <v>0</v>
      </c>
      <c r="W15" s="23">
        <v>0</v>
      </c>
      <c r="X15" s="22">
        <v>0</v>
      </c>
      <c r="Y15" s="23">
        <v>0</v>
      </c>
      <c r="Z15" s="24">
        <f t="shared" si="1"/>
        <v>0</v>
      </c>
      <c r="AA15" s="23">
        <v>0</v>
      </c>
      <c r="AB15" s="25">
        <f t="shared" si="2"/>
        <v>0</v>
      </c>
      <c r="AC15" s="26">
        <f t="shared" si="3"/>
        <v>0</v>
      </c>
      <c r="AD15" s="24">
        <f t="shared" si="4"/>
        <v>0</v>
      </c>
      <c r="AE15" s="27">
        <f t="shared" si="5"/>
        <v>0</v>
      </c>
      <c r="AF15" s="24">
        <f t="shared" si="6"/>
        <v>0</v>
      </c>
      <c r="AG15" s="43">
        <f t="shared" si="7"/>
        <v>479.59548000000001</v>
      </c>
      <c r="AH15" s="47">
        <v>4.81E-3</v>
      </c>
      <c r="AI15" s="43">
        <f t="shared" si="23"/>
        <v>762.76619999999991</v>
      </c>
      <c r="AJ15" s="46">
        <v>7.6499999999999997E-3</v>
      </c>
      <c r="AK15" s="43">
        <f t="shared" si="22"/>
        <v>0</v>
      </c>
      <c r="AL15" s="44">
        <v>0</v>
      </c>
      <c r="AM15" s="22">
        <v>0</v>
      </c>
      <c r="AN15" s="28">
        <v>0</v>
      </c>
      <c r="AO15" s="24">
        <f t="shared" si="24"/>
        <v>1242.36168</v>
      </c>
      <c r="AP15" s="26">
        <f t="shared" si="25"/>
        <v>1.2460000000000001E-2</v>
      </c>
      <c r="AQ15" s="24">
        <f t="shared" si="26"/>
        <v>1242.36168</v>
      </c>
      <c r="AR15" s="26">
        <f t="shared" si="27"/>
        <v>1.2460000000000001E-2</v>
      </c>
      <c r="AS15" s="25">
        <f t="shared" si="28"/>
        <v>0</v>
      </c>
      <c r="AT15" s="27">
        <f t="shared" si="29"/>
        <v>0</v>
      </c>
    </row>
    <row r="16" spans="1:46" x14ac:dyDescent="0.35">
      <c r="A16" s="36" t="s">
        <v>120</v>
      </c>
      <c r="B16" s="50" t="s">
        <v>91</v>
      </c>
      <c r="C16" s="38" t="s">
        <v>34</v>
      </c>
      <c r="D16" s="38" t="s">
        <v>37</v>
      </c>
      <c r="E16" s="50" t="s">
        <v>121</v>
      </c>
      <c r="F16" s="50" t="s">
        <v>94</v>
      </c>
      <c r="G16" s="40">
        <v>25822</v>
      </c>
      <c r="H16" s="38" t="s">
        <v>122</v>
      </c>
      <c r="I16" s="38" t="s">
        <v>10</v>
      </c>
      <c r="J16" s="38" t="s">
        <v>10</v>
      </c>
      <c r="K16" s="38" t="s">
        <v>118</v>
      </c>
      <c r="L16" s="38" t="s">
        <v>123</v>
      </c>
      <c r="M16" s="38" t="s">
        <v>78</v>
      </c>
      <c r="N16" s="52">
        <v>43812</v>
      </c>
      <c r="O16" s="42">
        <v>210</v>
      </c>
      <c r="P16" s="18">
        <v>406.46</v>
      </c>
      <c r="Q16" s="8">
        <v>500</v>
      </c>
      <c r="R16" s="22">
        <v>0</v>
      </c>
      <c r="S16" s="23">
        <v>0</v>
      </c>
      <c r="T16" s="22">
        <v>0</v>
      </c>
      <c r="U16" s="23">
        <v>0</v>
      </c>
      <c r="V16" s="24">
        <f t="shared" si="0"/>
        <v>0</v>
      </c>
      <c r="W16" s="23">
        <v>0</v>
      </c>
      <c r="X16" s="22">
        <v>0</v>
      </c>
      <c r="Y16" s="23">
        <v>0</v>
      </c>
      <c r="Z16" s="24">
        <f t="shared" si="1"/>
        <v>0</v>
      </c>
      <c r="AA16" s="23">
        <v>0</v>
      </c>
      <c r="AB16" s="25">
        <f t="shared" si="2"/>
        <v>0</v>
      </c>
      <c r="AC16" s="26">
        <f t="shared" si="3"/>
        <v>0</v>
      </c>
      <c r="AD16" s="24">
        <f t="shared" si="4"/>
        <v>0</v>
      </c>
      <c r="AE16" s="27">
        <f t="shared" si="5"/>
        <v>0</v>
      </c>
      <c r="AF16" s="24">
        <f t="shared" si="6"/>
        <v>0</v>
      </c>
      <c r="AG16" s="43">
        <f t="shared" si="7"/>
        <v>365.32624799999996</v>
      </c>
      <c r="AH16" s="45">
        <v>4.28E-3</v>
      </c>
      <c r="AI16" s="43">
        <f t="shared" si="23"/>
        <v>731.50606199999993</v>
      </c>
      <c r="AJ16" s="44">
        <v>8.5699999999999995E-3</v>
      </c>
      <c r="AK16" s="43">
        <f t="shared" si="22"/>
        <v>0</v>
      </c>
      <c r="AL16" s="44">
        <v>0</v>
      </c>
      <c r="AM16" s="22">
        <v>0</v>
      </c>
      <c r="AN16" s="28">
        <v>0</v>
      </c>
      <c r="AO16" s="24">
        <f>Z16+AG16+AI16+AK16</f>
        <v>1096.8323099999998</v>
      </c>
      <c r="AP16" s="26">
        <f>AO16/(O16*P16)</f>
        <v>1.2849999999999999E-2</v>
      </c>
      <c r="AQ16" s="24">
        <f>AO16+AB16</f>
        <v>1096.8323099999998</v>
      </c>
      <c r="AR16" s="26">
        <f>AQ16/(P16*O16)</f>
        <v>1.2849999999999999E-2</v>
      </c>
      <c r="AS16" s="25">
        <f>V16</f>
        <v>0</v>
      </c>
      <c r="AT16" s="27">
        <f>AS16/(P16*O16)</f>
        <v>0</v>
      </c>
    </row>
    <row r="17" spans="1:46" x14ac:dyDescent="0.35">
      <c r="A17" s="36" t="s">
        <v>124</v>
      </c>
      <c r="B17" s="50" t="s">
        <v>12</v>
      </c>
      <c r="C17" s="38" t="s">
        <v>34</v>
      </c>
      <c r="D17" s="38" t="s">
        <v>82</v>
      </c>
      <c r="E17" s="50" t="s">
        <v>125</v>
      </c>
      <c r="F17" s="50" t="s">
        <v>87</v>
      </c>
      <c r="G17" s="40">
        <v>23165</v>
      </c>
      <c r="H17" s="38" t="s">
        <v>126</v>
      </c>
      <c r="I17" s="38" t="s">
        <v>10</v>
      </c>
      <c r="J17" s="38" t="s">
        <v>10</v>
      </c>
      <c r="K17" s="38" t="s">
        <v>127</v>
      </c>
      <c r="L17" s="38" t="s">
        <v>128</v>
      </c>
      <c r="M17" s="38" t="s">
        <v>78</v>
      </c>
      <c r="N17" s="52">
        <v>43819</v>
      </c>
      <c r="O17" s="42">
        <v>42</v>
      </c>
      <c r="P17" s="18">
        <v>415.45</v>
      </c>
      <c r="Q17" s="8">
        <v>500</v>
      </c>
      <c r="R17" s="22">
        <v>0</v>
      </c>
      <c r="S17" s="23">
        <v>0</v>
      </c>
      <c r="T17" s="22">
        <v>0</v>
      </c>
      <c r="U17" s="23">
        <v>0</v>
      </c>
      <c r="V17" s="24">
        <f t="shared" si="0"/>
        <v>0</v>
      </c>
      <c r="W17" s="23">
        <v>0</v>
      </c>
      <c r="X17" s="22">
        <v>0</v>
      </c>
      <c r="Y17" s="23">
        <v>0</v>
      </c>
      <c r="Z17" s="24">
        <f t="shared" si="1"/>
        <v>0</v>
      </c>
      <c r="AA17" s="23">
        <v>0</v>
      </c>
      <c r="AB17" s="25">
        <f t="shared" si="2"/>
        <v>0</v>
      </c>
      <c r="AC17" s="26">
        <f t="shared" si="3"/>
        <v>0</v>
      </c>
      <c r="AD17" s="24">
        <f t="shared" si="4"/>
        <v>0</v>
      </c>
      <c r="AE17" s="27">
        <f t="shared" si="5"/>
        <v>0</v>
      </c>
      <c r="AF17" s="24">
        <f t="shared" si="6"/>
        <v>0</v>
      </c>
      <c r="AG17" s="43">
        <f t="shared" si="7"/>
        <v>83.929209</v>
      </c>
      <c r="AH17" s="47">
        <v>4.81E-3</v>
      </c>
      <c r="AI17" s="43">
        <f t="shared" si="23"/>
        <v>133.48408499999999</v>
      </c>
      <c r="AJ17" s="46">
        <v>7.6499999999999997E-3</v>
      </c>
      <c r="AK17" s="43">
        <f t="shared" si="22"/>
        <v>0</v>
      </c>
      <c r="AL17" s="44">
        <v>0</v>
      </c>
      <c r="AM17" s="22">
        <v>0</v>
      </c>
      <c r="AN17" s="28">
        <v>0</v>
      </c>
      <c r="AO17" s="24">
        <f t="shared" si="24"/>
        <v>217.41329400000001</v>
      </c>
      <c r="AP17" s="26">
        <f t="shared" si="25"/>
        <v>1.2460000000000002E-2</v>
      </c>
      <c r="AQ17" s="24">
        <f t="shared" si="26"/>
        <v>217.41329400000001</v>
      </c>
      <c r="AR17" s="26">
        <f t="shared" si="27"/>
        <v>1.2460000000000002E-2</v>
      </c>
      <c r="AS17" s="25">
        <f t="shared" si="28"/>
        <v>0</v>
      </c>
      <c r="AT17" s="27">
        <f t="shared" si="29"/>
        <v>0</v>
      </c>
    </row>
    <row r="18" spans="1:46" x14ac:dyDescent="0.35">
      <c r="A18" s="36" t="s">
        <v>69</v>
      </c>
      <c r="B18" s="50" t="s">
        <v>92</v>
      </c>
      <c r="C18" s="38" t="s">
        <v>34</v>
      </c>
      <c r="D18" s="38" t="s">
        <v>37</v>
      </c>
      <c r="E18" s="50" t="s">
        <v>129</v>
      </c>
      <c r="F18" s="50" t="s">
        <v>81</v>
      </c>
      <c r="G18" s="40">
        <v>24765</v>
      </c>
      <c r="H18" s="38" t="s">
        <v>130</v>
      </c>
      <c r="I18" s="38" t="s">
        <v>10</v>
      </c>
      <c r="J18" s="38" t="s">
        <v>10</v>
      </c>
      <c r="K18" s="38" t="s">
        <v>70</v>
      </c>
      <c r="L18" s="38" t="s">
        <v>71</v>
      </c>
      <c r="M18" s="38" t="s">
        <v>78</v>
      </c>
      <c r="N18" s="52">
        <v>45107</v>
      </c>
      <c r="O18" s="42">
        <v>160</v>
      </c>
      <c r="P18" s="18">
        <v>409.16</v>
      </c>
      <c r="Q18" s="8">
        <v>500</v>
      </c>
      <c r="R18" s="22">
        <v>0</v>
      </c>
      <c r="S18" s="23">
        <v>0</v>
      </c>
      <c r="T18" s="22">
        <v>0</v>
      </c>
      <c r="U18" s="23">
        <v>0</v>
      </c>
      <c r="V18" s="24">
        <f t="shared" si="0"/>
        <v>0</v>
      </c>
      <c r="W18" s="23">
        <v>0</v>
      </c>
      <c r="X18" s="22">
        <v>0</v>
      </c>
      <c r="Y18" s="23">
        <v>0</v>
      </c>
      <c r="Z18" s="24">
        <f t="shared" si="1"/>
        <v>0</v>
      </c>
      <c r="AA18" s="23">
        <v>0</v>
      </c>
      <c r="AB18" s="25">
        <f t="shared" si="2"/>
        <v>0</v>
      </c>
      <c r="AC18" s="26">
        <f t="shared" si="3"/>
        <v>0</v>
      </c>
      <c r="AD18" s="24">
        <f t="shared" si="4"/>
        <v>0</v>
      </c>
      <c r="AE18" s="27">
        <f t="shared" si="5"/>
        <v>0</v>
      </c>
      <c r="AF18" s="24">
        <f t="shared" si="6"/>
        <v>0</v>
      </c>
      <c r="AG18" s="43">
        <f t="shared" si="7"/>
        <v>-227.16563200000002</v>
      </c>
      <c r="AH18" s="45">
        <v>-3.47E-3</v>
      </c>
      <c r="AI18" s="43">
        <f>AJ18*P18*O18</f>
        <v>206.21664000000004</v>
      </c>
      <c r="AJ18" s="44">
        <v>3.15E-3</v>
      </c>
      <c r="AK18" s="43">
        <f t="shared" si="22"/>
        <v>0</v>
      </c>
      <c r="AL18" s="44">
        <v>0</v>
      </c>
      <c r="AM18" s="22">
        <v>0</v>
      </c>
      <c r="AN18" s="28">
        <v>0</v>
      </c>
      <c r="AO18" s="24">
        <f>Z18+AG18+AI18+AK18</f>
        <v>-20.948991999999976</v>
      </c>
      <c r="AP18" s="26">
        <f>AO18/(O18*P18)</f>
        <v>-3.1999999999999959E-4</v>
      </c>
      <c r="AQ18" s="24">
        <f>AO18+AB18</f>
        <v>-20.948991999999976</v>
      </c>
      <c r="AR18" s="26">
        <f>AQ18/(P18*O18)</f>
        <v>-3.1999999999999959E-4</v>
      </c>
      <c r="AS18" s="25">
        <f>V18</f>
        <v>0</v>
      </c>
      <c r="AT18" s="27">
        <f>AS18/(P18*O18)</f>
        <v>0</v>
      </c>
    </row>
    <row r="19" spans="1:46" x14ac:dyDescent="0.35">
      <c r="B19" s="48"/>
      <c r="E19" s="48"/>
      <c r="F19" s="48"/>
      <c r="N19" s="48"/>
      <c r="O19"/>
      <c r="AG19" s="48"/>
      <c r="AH19" s="48"/>
      <c r="AI19" s="48"/>
      <c r="AJ19" s="48"/>
      <c r="AK19" s="48"/>
      <c r="AL19" s="48"/>
    </row>
    <row r="20" spans="1:46" x14ac:dyDescent="0.35">
      <c r="B20" s="48"/>
      <c r="E20" s="48"/>
      <c r="F20" s="48"/>
      <c r="N20" s="48"/>
      <c r="O20"/>
      <c r="AG20" s="48"/>
      <c r="AH20" s="48"/>
      <c r="AI20" s="48"/>
      <c r="AJ20" s="48"/>
      <c r="AK20" s="48"/>
      <c r="AL20" s="48"/>
    </row>
    <row r="21" spans="1:46" x14ac:dyDescent="0.35">
      <c r="B21" s="48"/>
      <c r="E21" s="48"/>
      <c r="F21" s="48"/>
      <c r="N21" s="48"/>
      <c r="O21"/>
      <c r="AG21" s="48"/>
      <c r="AH21" s="48"/>
      <c r="AI21" s="48"/>
      <c r="AJ21" s="48"/>
      <c r="AK21" s="48"/>
      <c r="AL21" s="48"/>
    </row>
    <row r="22" spans="1:46" x14ac:dyDescent="0.35">
      <c r="B22" s="48"/>
      <c r="E22" s="48"/>
      <c r="F22" s="48"/>
      <c r="N22" s="48"/>
      <c r="O22"/>
      <c r="AG22" s="48"/>
      <c r="AH22" s="48"/>
      <c r="AI22" s="48"/>
      <c r="AJ22" s="48"/>
      <c r="AK22" s="48"/>
      <c r="AL22" s="48"/>
    </row>
    <row r="23" spans="1:46" x14ac:dyDescent="0.35">
      <c r="B23" s="48"/>
      <c r="E23" s="48"/>
      <c r="F23" s="48"/>
      <c r="N23" s="48"/>
      <c r="O23"/>
      <c r="AG23" s="48"/>
      <c r="AH23" s="48"/>
      <c r="AI23" s="48"/>
      <c r="AJ23" s="48"/>
      <c r="AK23" s="48"/>
      <c r="AL23" s="48"/>
    </row>
    <row r="24" spans="1:46" x14ac:dyDescent="0.35">
      <c r="B24" s="48"/>
      <c r="E24" s="48"/>
      <c r="F24" s="48"/>
      <c r="N24" s="48"/>
      <c r="O24"/>
      <c r="AG24" s="48"/>
      <c r="AH24" s="48"/>
      <c r="AI24" s="48"/>
      <c r="AJ24" s="48"/>
      <c r="AK24" s="48"/>
      <c r="AL24" s="48"/>
    </row>
    <row r="25" spans="1:46" x14ac:dyDescent="0.35">
      <c r="B25" s="48"/>
      <c r="E25" s="48"/>
      <c r="F25" s="48"/>
      <c r="N25" s="48"/>
      <c r="O25"/>
      <c r="AG25" s="48"/>
      <c r="AH25" s="48"/>
      <c r="AI25" s="48"/>
      <c r="AJ25" s="48"/>
      <c r="AK25" s="48"/>
      <c r="AL25" s="48"/>
    </row>
    <row r="26" spans="1:46" x14ac:dyDescent="0.35">
      <c r="B26" s="48"/>
      <c r="E26" s="48"/>
      <c r="F26" s="48"/>
      <c r="N26" s="48"/>
      <c r="O26"/>
      <c r="AG26" s="48"/>
      <c r="AH26" s="48"/>
      <c r="AI26" s="48"/>
      <c r="AJ26" s="48"/>
      <c r="AK26" s="48"/>
      <c r="AL26" s="48"/>
    </row>
    <row r="27" spans="1:46" x14ac:dyDescent="0.35">
      <c r="B27" s="48"/>
      <c r="E27" s="48"/>
      <c r="F27" s="48"/>
      <c r="N27" s="48"/>
      <c r="O27"/>
      <c r="AG27" s="48"/>
      <c r="AH27" s="48"/>
      <c r="AI27" s="48"/>
      <c r="AJ27" s="48"/>
      <c r="AK27" s="48"/>
      <c r="AL27" s="48"/>
    </row>
    <row r="28" spans="1:46" x14ac:dyDescent="0.35">
      <c r="B28" s="48"/>
      <c r="E28" s="48"/>
      <c r="F28" s="48"/>
      <c r="N28" s="48"/>
      <c r="O28"/>
      <c r="AG28" s="48"/>
      <c r="AH28" s="48"/>
      <c r="AI28" s="48"/>
      <c r="AJ28" s="48"/>
      <c r="AK28" s="48"/>
      <c r="AL28" s="48"/>
    </row>
    <row r="29" spans="1:46" x14ac:dyDescent="0.35">
      <c r="B29" s="48"/>
      <c r="E29" s="48"/>
      <c r="F29" s="48"/>
      <c r="N29" s="48"/>
      <c r="O29"/>
      <c r="AG29" s="48"/>
      <c r="AH29" s="48"/>
      <c r="AI29" s="48"/>
      <c r="AJ29" s="48"/>
      <c r="AK29" s="48"/>
      <c r="AL29" s="48"/>
    </row>
    <row r="30" spans="1:46" x14ac:dyDescent="0.35">
      <c r="B30" s="48"/>
      <c r="E30" s="48"/>
      <c r="F30" s="48"/>
      <c r="N30" s="48"/>
      <c r="O30"/>
      <c r="AG30" s="48"/>
      <c r="AH30" s="48"/>
      <c r="AI30" s="48"/>
      <c r="AJ30" s="48"/>
      <c r="AK30" s="48"/>
      <c r="AL30" s="48"/>
    </row>
    <row r="31" spans="1:46" x14ac:dyDescent="0.35">
      <c r="B31" s="48"/>
      <c r="E31" s="48"/>
      <c r="F31" s="48"/>
      <c r="N31" s="48"/>
      <c r="O31"/>
      <c r="AG31" s="48"/>
      <c r="AH31" s="48"/>
      <c r="AI31" s="48"/>
      <c r="AJ31" s="48"/>
      <c r="AK31" s="48"/>
      <c r="AL31" s="48"/>
    </row>
    <row r="32" spans="1:46" x14ac:dyDescent="0.35">
      <c r="B32" s="48"/>
      <c r="E32" s="48"/>
      <c r="F32" s="48"/>
      <c r="N32" s="48"/>
      <c r="O32"/>
      <c r="AG32" s="48"/>
      <c r="AH32" s="48"/>
      <c r="AI32" s="48"/>
      <c r="AJ32" s="48"/>
      <c r="AK32" s="48"/>
      <c r="AL32" s="48"/>
    </row>
    <row r="33" spans="2:38" x14ac:dyDescent="0.35">
      <c r="B33" s="48"/>
      <c r="E33" s="48"/>
      <c r="F33" s="48"/>
      <c r="N33" s="48"/>
      <c r="O33"/>
      <c r="AG33" s="48"/>
      <c r="AH33" s="48"/>
      <c r="AI33" s="48"/>
      <c r="AJ33" s="48"/>
      <c r="AK33" s="48"/>
      <c r="AL33" s="48"/>
    </row>
    <row r="34" spans="2:38" x14ac:dyDescent="0.35">
      <c r="B34" s="48"/>
      <c r="E34" s="48"/>
      <c r="F34" s="48"/>
      <c r="N34" s="48"/>
      <c r="O34"/>
      <c r="AG34" s="48"/>
      <c r="AH34" s="48"/>
      <c r="AI34" s="48"/>
      <c r="AJ34" s="48"/>
      <c r="AK34" s="48"/>
      <c r="AL34" s="48"/>
    </row>
    <row r="35" spans="2:38" x14ac:dyDescent="0.35">
      <c r="B35" s="48"/>
      <c r="E35" s="48"/>
      <c r="F35" s="48"/>
      <c r="N35" s="48"/>
      <c r="O35"/>
      <c r="AG35" s="48"/>
      <c r="AH35" s="48"/>
      <c r="AI35" s="48"/>
      <c r="AJ35" s="48"/>
      <c r="AK35" s="48"/>
      <c r="AL35" s="48"/>
    </row>
    <row r="36" spans="2:38" x14ac:dyDescent="0.35">
      <c r="B36" s="48"/>
      <c r="E36" s="48"/>
      <c r="F36" s="48"/>
      <c r="N36" s="48"/>
      <c r="O36"/>
      <c r="AG36" s="48"/>
      <c r="AH36" s="48"/>
      <c r="AI36" s="48"/>
      <c r="AJ36" s="48"/>
      <c r="AK36" s="48"/>
      <c r="AL36" s="48"/>
    </row>
    <row r="37" spans="2:38" x14ac:dyDescent="0.35">
      <c r="B37" s="48"/>
      <c r="E37" s="48"/>
      <c r="F37" s="48"/>
      <c r="N37" s="48"/>
      <c r="O37"/>
      <c r="AG37" s="48"/>
      <c r="AH37" s="48"/>
      <c r="AI37" s="48"/>
      <c r="AJ37" s="48"/>
      <c r="AK37" s="48"/>
      <c r="AL37" s="48"/>
    </row>
    <row r="38" spans="2:38" x14ac:dyDescent="0.35">
      <c r="B38" s="48"/>
      <c r="E38" s="48"/>
      <c r="F38" s="48"/>
      <c r="N38" s="48"/>
      <c r="O38"/>
      <c r="AG38" s="48"/>
      <c r="AH38" s="48"/>
      <c r="AI38" s="48"/>
      <c r="AJ38" s="48"/>
      <c r="AK38" s="48"/>
      <c r="AL38" s="48"/>
    </row>
    <row r="39" spans="2:38" x14ac:dyDescent="0.35">
      <c r="B39" s="48"/>
      <c r="E39" s="48"/>
      <c r="F39" s="48"/>
      <c r="N39" s="48"/>
      <c r="O39"/>
      <c r="AG39" s="48"/>
      <c r="AH39" s="48"/>
      <c r="AI39" s="48"/>
      <c r="AJ39" s="48"/>
      <c r="AK39" s="48"/>
      <c r="AL39" s="48"/>
    </row>
    <row r="40" spans="2:38" x14ac:dyDescent="0.35">
      <c r="B40" s="48"/>
      <c r="E40" s="48"/>
      <c r="F40" s="48"/>
      <c r="N40" s="48"/>
      <c r="O40"/>
      <c r="AG40" s="48"/>
      <c r="AH40" s="48"/>
      <c r="AI40" s="48"/>
      <c r="AJ40" s="48"/>
      <c r="AK40" s="48"/>
      <c r="AL40" s="48"/>
    </row>
    <row r="41" spans="2:38" x14ac:dyDescent="0.35">
      <c r="B41" s="48"/>
      <c r="E41" s="48"/>
      <c r="F41" s="48"/>
      <c r="N41" s="48"/>
      <c r="O41"/>
      <c r="AG41" s="48"/>
      <c r="AH41" s="48"/>
      <c r="AI41" s="48"/>
      <c r="AJ41" s="48"/>
      <c r="AK41" s="48"/>
      <c r="AL41" s="48"/>
    </row>
    <row r="42" spans="2:38" x14ac:dyDescent="0.35">
      <c r="B42" s="48"/>
      <c r="E42" s="48"/>
      <c r="F42" s="48"/>
      <c r="N42" s="48"/>
      <c r="O42"/>
      <c r="AG42" s="48"/>
      <c r="AH42" s="48"/>
      <c r="AI42" s="48"/>
      <c r="AJ42" s="48"/>
      <c r="AK42" s="48"/>
      <c r="AL42" s="48"/>
    </row>
    <row r="43" spans="2:38" x14ac:dyDescent="0.35">
      <c r="B43" s="48"/>
      <c r="E43" s="48"/>
      <c r="F43" s="48"/>
      <c r="N43" s="48"/>
      <c r="O43"/>
      <c r="AG43" s="48"/>
      <c r="AH43" s="48"/>
      <c r="AI43" s="48"/>
      <c r="AJ43" s="48"/>
      <c r="AK43" s="48"/>
      <c r="AL43" s="48"/>
    </row>
    <row r="44" spans="2:38" x14ac:dyDescent="0.35">
      <c r="B44" s="48"/>
      <c r="E44" s="48"/>
      <c r="F44" s="48"/>
      <c r="N44" s="48"/>
      <c r="O44"/>
      <c r="AG44" s="48"/>
      <c r="AH44" s="48"/>
      <c r="AI44" s="48"/>
      <c r="AJ44" s="48"/>
      <c r="AK44" s="48"/>
      <c r="AL44" s="48"/>
    </row>
    <row r="45" spans="2:38" x14ac:dyDescent="0.35">
      <c r="B45" s="48"/>
      <c r="E45" s="48"/>
      <c r="F45" s="48"/>
      <c r="N45" s="48"/>
      <c r="O45"/>
      <c r="AG45" s="48"/>
      <c r="AH45" s="48"/>
      <c r="AI45" s="48"/>
      <c r="AJ45" s="48"/>
      <c r="AK45" s="48"/>
      <c r="AL45" s="48"/>
    </row>
    <row r="46" spans="2:38" x14ac:dyDescent="0.35">
      <c r="B46" s="48"/>
      <c r="E46" s="48"/>
      <c r="F46" s="48"/>
      <c r="N46" s="48"/>
      <c r="O46"/>
      <c r="AG46" s="48"/>
      <c r="AH46" s="48"/>
      <c r="AI46" s="48"/>
      <c r="AJ46" s="48"/>
      <c r="AK46" s="48"/>
      <c r="AL46" s="48"/>
    </row>
    <row r="47" spans="2:38" x14ac:dyDescent="0.35">
      <c r="B47" s="48"/>
      <c r="E47" s="48"/>
      <c r="F47" s="48"/>
      <c r="N47" s="48"/>
      <c r="O47"/>
      <c r="AG47" s="48"/>
      <c r="AH47" s="48"/>
      <c r="AI47" s="48"/>
      <c r="AJ47" s="48"/>
      <c r="AK47" s="48"/>
      <c r="AL47" s="48"/>
    </row>
    <row r="48" spans="2:38" x14ac:dyDescent="0.35">
      <c r="B48" s="48"/>
      <c r="E48" s="48"/>
      <c r="F48" s="48"/>
      <c r="N48" s="48"/>
      <c r="O48"/>
      <c r="AG48" s="48"/>
      <c r="AH48" s="48"/>
      <c r="AI48" s="48"/>
      <c r="AJ48" s="48"/>
      <c r="AK48" s="48"/>
      <c r="AL48" s="48"/>
    </row>
    <row r="49" spans="2:38" x14ac:dyDescent="0.35">
      <c r="B49" s="48"/>
      <c r="E49" s="48"/>
      <c r="F49" s="48"/>
      <c r="N49" s="48"/>
      <c r="O49"/>
      <c r="AG49" s="48"/>
      <c r="AH49" s="48"/>
      <c r="AI49" s="48"/>
      <c r="AJ49" s="48"/>
      <c r="AK49" s="48"/>
      <c r="AL49" s="48"/>
    </row>
    <row r="50" spans="2:38" x14ac:dyDescent="0.35">
      <c r="B50" s="48"/>
      <c r="E50" s="48"/>
      <c r="F50" s="48"/>
      <c r="N50" s="48"/>
      <c r="O50"/>
      <c r="AG50" s="48"/>
      <c r="AH50" s="48"/>
      <c r="AI50" s="48"/>
      <c r="AJ50" s="48"/>
      <c r="AK50" s="48"/>
      <c r="AL50" s="48"/>
    </row>
    <row r="51" spans="2:38" x14ac:dyDescent="0.35">
      <c r="B51" s="48"/>
      <c r="E51" s="48"/>
      <c r="F51" s="48"/>
      <c r="N51" s="48"/>
      <c r="O51"/>
      <c r="AG51" s="48"/>
      <c r="AH51" s="48"/>
      <c r="AI51" s="48"/>
      <c r="AJ51" s="48"/>
      <c r="AK51" s="48"/>
      <c r="AL51" s="48"/>
    </row>
    <row r="52" spans="2:38" x14ac:dyDescent="0.35">
      <c r="B52" s="48"/>
      <c r="E52" s="48"/>
      <c r="F52" s="48"/>
      <c r="N52" s="48"/>
      <c r="O52"/>
      <c r="AG52" s="48"/>
      <c r="AH52" s="48"/>
      <c r="AI52" s="48"/>
      <c r="AJ52" s="48"/>
      <c r="AK52" s="48"/>
      <c r="AL52" s="48"/>
    </row>
    <row r="53" spans="2:38" x14ac:dyDescent="0.35">
      <c r="B53" s="48"/>
      <c r="E53" s="48"/>
      <c r="F53" s="48"/>
      <c r="N53" s="48"/>
      <c r="O53"/>
      <c r="AG53" s="48"/>
      <c r="AH53" s="48"/>
      <c r="AI53" s="48"/>
      <c r="AJ53" s="48"/>
      <c r="AK53" s="48"/>
      <c r="AL53" s="48"/>
    </row>
    <row r="54" spans="2:38" x14ac:dyDescent="0.35">
      <c r="B54" s="48"/>
      <c r="E54" s="48"/>
      <c r="F54" s="48"/>
      <c r="N54" s="48"/>
      <c r="O54"/>
      <c r="AG54" s="48"/>
      <c r="AH54" s="48"/>
      <c r="AI54" s="48"/>
      <c r="AJ54" s="48"/>
      <c r="AK54" s="48"/>
      <c r="AL54" s="48"/>
    </row>
    <row r="55" spans="2:38" x14ac:dyDescent="0.35">
      <c r="B55" s="48"/>
      <c r="E55" s="48"/>
      <c r="F55" s="48"/>
      <c r="N55" s="48"/>
      <c r="O55"/>
      <c r="AG55" s="48"/>
      <c r="AH55" s="48"/>
      <c r="AI55" s="48"/>
      <c r="AJ55" s="48"/>
      <c r="AK55" s="48"/>
      <c r="AL55" s="48"/>
    </row>
    <row r="56" spans="2:38" x14ac:dyDescent="0.35">
      <c r="B56" s="48"/>
      <c r="E56" s="48"/>
      <c r="F56" s="48"/>
      <c r="N56" s="48"/>
      <c r="O56"/>
      <c r="AG56" s="48"/>
      <c r="AH56" s="48"/>
      <c r="AI56" s="48"/>
      <c r="AJ56" s="48"/>
      <c r="AK56" s="48"/>
      <c r="AL56" s="48"/>
    </row>
    <row r="57" spans="2:38" x14ac:dyDescent="0.35">
      <c r="B57" s="48"/>
      <c r="E57" s="48"/>
      <c r="F57" s="48"/>
      <c r="N57" s="48"/>
      <c r="O57"/>
      <c r="AG57" s="48"/>
      <c r="AH57" s="48"/>
      <c r="AI57" s="48"/>
      <c r="AJ57" s="48"/>
      <c r="AK57" s="48"/>
      <c r="AL57" s="48"/>
    </row>
    <row r="58" spans="2:38" x14ac:dyDescent="0.35">
      <c r="B58" s="48"/>
      <c r="E58" s="48"/>
      <c r="F58" s="48"/>
      <c r="N58" s="48"/>
      <c r="O58"/>
      <c r="AG58" s="48"/>
      <c r="AH58" s="48"/>
      <c r="AI58" s="48"/>
      <c r="AJ58" s="48"/>
      <c r="AK58" s="48"/>
      <c r="AL58" s="48"/>
    </row>
    <row r="59" spans="2:38" x14ac:dyDescent="0.35">
      <c r="B59" s="48"/>
      <c r="E59" s="48"/>
      <c r="F59" s="48"/>
      <c r="N59" s="48"/>
      <c r="O59"/>
      <c r="AG59" s="48"/>
      <c r="AH59" s="48"/>
      <c r="AI59" s="48"/>
      <c r="AJ59" s="48"/>
      <c r="AK59" s="48"/>
      <c r="AL59" s="48"/>
    </row>
    <row r="60" spans="2:38" x14ac:dyDescent="0.35">
      <c r="B60" s="48"/>
      <c r="E60" s="48"/>
      <c r="F60" s="48"/>
      <c r="N60" s="48"/>
      <c r="O60"/>
      <c r="AG60" s="48"/>
      <c r="AH60" s="48"/>
      <c r="AI60" s="48"/>
      <c r="AJ60" s="48"/>
      <c r="AK60" s="48"/>
      <c r="AL60" s="48"/>
    </row>
    <row r="61" spans="2:38" x14ac:dyDescent="0.35">
      <c r="B61" s="48"/>
      <c r="E61" s="48"/>
      <c r="F61" s="48"/>
      <c r="N61" s="48"/>
      <c r="O61"/>
      <c r="AG61" s="48"/>
      <c r="AH61" s="48"/>
      <c r="AI61" s="48"/>
      <c r="AJ61" s="48"/>
      <c r="AK61" s="48"/>
      <c r="AL61" s="48"/>
    </row>
    <row r="62" spans="2:38" x14ac:dyDescent="0.35">
      <c r="B62" s="48"/>
      <c r="E62" s="48"/>
      <c r="F62" s="48"/>
      <c r="N62" s="48"/>
      <c r="O62"/>
      <c r="AG62" s="48"/>
      <c r="AH62" s="48"/>
      <c r="AI62" s="48"/>
      <c r="AJ62" s="48"/>
      <c r="AK62" s="48"/>
      <c r="AL62" s="48"/>
    </row>
    <row r="63" spans="2:38" x14ac:dyDescent="0.35">
      <c r="B63" s="48"/>
      <c r="E63" s="48"/>
      <c r="F63" s="48"/>
      <c r="N63" s="48"/>
      <c r="O63"/>
      <c r="AG63" s="48"/>
      <c r="AH63" s="48"/>
      <c r="AI63" s="48"/>
      <c r="AJ63" s="48"/>
      <c r="AK63" s="48"/>
      <c r="AL63" s="48"/>
    </row>
    <row r="64" spans="2:38" x14ac:dyDescent="0.35">
      <c r="B64" s="48"/>
      <c r="E64" s="48"/>
      <c r="F64" s="48"/>
      <c r="N64" s="48"/>
      <c r="O64"/>
      <c r="AG64" s="48"/>
      <c r="AH64" s="48"/>
      <c r="AI64" s="48"/>
      <c r="AJ64" s="48"/>
      <c r="AK64" s="48"/>
      <c r="AL64" s="48"/>
    </row>
    <row r="65" spans="2:38" x14ac:dyDescent="0.35">
      <c r="B65" s="48"/>
      <c r="E65" s="48"/>
      <c r="F65" s="48"/>
      <c r="N65" s="48"/>
      <c r="O65"/>
      <c r="AG65" s="48"/>
      <c r="AH65" s="48"/>
      <c r="AI65" s="48"/>
      <c r="AJ65" s="48"/>
      <c r="AK65" s="48"/>
      <c r="AL65" s="48"/>
    </row>
    <row r="66" spans="2:38" x14ac:dyDescent="0.35">
      <c r="B66" s="48"/>
      <c r="E66" s="48"/>
      <c r="F66" s="48"/>
      <c r="N66" s="48"/>
      <c r="O66"/>
      <c r="AG66" s="48"/>
      <c r="AH66" s="48"/>
      <c r="AI66" s="48"/>
      <c r="AJ66" s="48"/>
      <c r="AK66" s="48"/>
      <c r="AL66" s="48"/>
    </row>
    <row r="67" spans="2:38" x14ac:dyDescent="0.35">
      <c r="B67" s="48"/>
      <c r="E67" s="48"/>
      <c r="F67" s="48"/>
      <c r="N67" s="48"/>
      <c r="O67"/>
      <c r="AG67" s="48"/>
      <c r="AH67" s="48"/>
      <c r="AI67" s="48"/>
      <c r="AJ67" s="48"/>
      <c r="AK67" s="48"/>
      <c r="AL67" s="48"/>
    </row>
    <row r="68" spans="2:38" x14ac:dyDescent="0.35">
      <c r="B68" s="48"/>
      <c r="E68" s="48"/>
      <c r="F68" s="48"/>
      <c r="N68" s="48"/>
      <c r="O68"/>
      <c r="AG68" s="48"/>
      <c r="AH68" s="48"/>
      <c r="AI68" s="48"/>
      <c r="AJ68" s="48"/>
      <c r="AK68" s="48"/>
      <c r="AL68" s="48"/>
    </row>
    <row r="69" spans="2:38" x14ac:dyDescent="0.35">
      <c r="B69" s="48"/>
      <c r="E69" s="48"/>
      <c r="F69" s="48"/>
      <c r="N69" s="48"/>
      <c r="O69"/>
      <c r="AG69" s="48"/>
      <c r="AH69" s="48"/>
      <c r="AI69" s="48"/>
      <c r="AJ69" s="48"/>
      <c r="AK69" s="48"/>
      <c r="AL69" s="48"/>
    </row>
    <row r="70" spans="2:38" x14ac:dyDescent="0.35">
      <c r="B70" s="48"/>
      <c r="E70" s="48"/>
      <c r="F70" s="48"/>
      <c r="N70" s="48"/>
      <c r="O70"/>
      <c r="AG70" s="48"/>
      <c r="AH70" s="48"/>
      <c r="AI70" s="48"/>
      <c r="AJ70" s="48"/>
      <c r="AK70" s="48"/>
      <c r="AL70" s="48"/>
    </row>
    <row r="71" spans="2:38" x14ac:dyDescent="0.35">
      <c r="B71" s="48"/>
      <c r="E71" s="48"/>
      <c r="F71" s="48"/>
      <c r="N71" s="48"/>
      <c r="O71"/>
      <c r="AG71" s="48"/>
      <c r="AH71" s="48"/>
      <c r="AI71" s="48"/>
      <c r="AJ71" s="48"/>
      <c r="AK71" s="48"/>
      <c r="AL71" s="48"/>
    </row>
    <row r="72" spans="2:38" x14ac:dyDescent="0.35">
      <c r="B72" s="48"/>
      <c r="E72" s="48"/>
      <c r="F72" s="48"/>
      <c r="N72" s="48"/>
      <c r="O72"/>
      <c r="AG72" s="48"/>
      <c r="AH72" s="48"/>
      <c r="AI72" s="48"/>
      <c r="AJ72" s="48"/>
      <c r="AK72" s="48"/>
      <c r="AL72" s="48"/>
    </row>
    <row r="73" spans="2:38" x14ac:dyDescent="0.35">
      <c r="B73" s="48"/>
      <c r="E73" s="48"/>
      <c r="F73" s="48"/>
      <c r="N73" s="48"/>
      <c r="O73"/>
      <c r="AG73" s="48"/>
      <c r="AH73" s="48"/>
      <c r="AI73" s="48"/>
      <c r="AJ73" s="48"/>
      <c r="AK73" s="48"/>
      <c r="AL73" s="48"/>
    </row>
    <row r="74" spans="2:38" x14ac:dyDescent="0.35">
      <c r="B74" s="48"/>
      <c r="E74" s="48"/>
      <c r="F74" s="48"/>
      <c r="N74" s="48"/>
      <c r="O74"/>
      <c r="AG74" s="48"/>
      <c r="AH74" s="48"/>
      <c r="AI74" s="48"/>
      <c r="AJ74" s="48"/>
      <c r="AK74" s="48"/>
      <c r="AL74" s="48"/>
    </row>
    <row r="75" spans="2:38" x14ac:dyDescent="0.35">
      <c r="B75" s="48"/>
      <c r="E75" s="48"/>
      <c r="F75" s="48"/>
      <c r="N75" s="48"/>
      <c r="O75"/>
      <c r="AG75" s="48"/>
      <c r="AH75" s="48"/>
      <c r="AI75" s="48"/>
      <c r="AJ75" s="48"/>
      <c r="AK75" s="48"/>
      <c r="AL75" s="48"/>
    </row>
    <row r="76" spans="2:38" x14ac:dyDescent="0.35">
      <c r="B76" s="48"/>
      <c r="E76" s="48"/>
      <c r="F76" s="48"/>
      <c r="N76" s="48"/>
      <c r="O76"/>
      <c r="AG76" s="48"/>
      <c r="AH76" s="48"/>
      <c r="AI76" s="48"/>
      <c r="AJ76" s="48"/>
      <c r="AK76" s="48"/>
      <c r="AL76" s="48"/>
    </row>
    <row r="77" spans="2:38" x14ac:dyDescent="0.35">
      <c r="B77" s="48"/>
      <c r="E77" s="48"/>
      <c r="F77" s="48"/>
      <c r="N77" s="48"/>
      <c r="O77"/>
      <c r="AG77" s="48"/>
      <c r="AH77" s="48"/>
      <c r="AI77" s="48"/>
      <c r="AJ77" s="48"/>
      <c r="AK77" s="48"/>
      <c r="AL77" s="48"/>
    </row>
    <row r="78" spans="2:38" x14ac:dyDescent="0.35">
      <c r="B78" s="48"/>
      <c r="E78" s="48"/>
      <c r="F78" s="48"/>
      <c r="N78" s="48"/>
      <c r="O78"/>
      <c r="AG78" s="48"/>
      <c r="AH78" s="48"/>
      <c r="AI78" s="48"/>
      <c r="AJ78" s="48"/>
      <c r="AK78" s="48"/>
      <c r="AL78" s="48"/>
    </row>
    <row r="79" spans="2:38" x14ac:dyDescent="0.35">
      <c r="B79" s="48"/>
      <c r="E79" s="48"/>
      <c r="F79" s="48"/>
      <c r="N79" s="48"/>
      <c r="O79"/>
      <c r="AG79" s="48"/>
      <c r="AH79" s="48"/>
      <c r="AI79" s="48"/>
      <c r="AJ79" s="48"/>
      <c r="AK79" s="48"/>
      <c r="AL79" s="48"/>
    </row>
    <row r="80" spans="2:38" x14ac:dyDescent="0.35">
      <c r="B80" s="48"/>
      <c r="E80" s="48"/>
      <c r="F80" s="48"/>
      <c r="N80" s="48"/>
      <c r="O80"/>
      <c r="AG80" s="48"/>
      <c r="AH80" s="48"/>
      <c r="AI80" s="48"/>
      <c r="AJ80" s="48"/>
      <c r="AK80" s="48"/>
      <c r="AL80" s="48"/>
    </row>
    <row r="81" spans="2:38" x14ac:dyDescent="0.35">
      <c r="B81" s="48"/>
      <c r="E81" s="48"/>
      <c r="F81" s="48"/>
      <c r="N81" s="48"/>
      <c r="O81"/>
      <c r="AG81" s="48"/>
      <c r="AH81" s="48"/>
      <c r="AI81" s="48"/>
      <c r="AJ81" s="48"/>
      <c r="AK81" s="48"/>
      <c r="AL81" s="48"/>
    </row>
    <row r="82" spans="2:38" x14ac:dyDescent="0.35">
      <c r="B82" s="48"/>
      <c r="E82" s="48"/>
      <c r="F82" s="48"/>
      <c r="N82" s="48"/>
      <c r="O82"/>
      <c r="AG82" s="48"/>
      <c r="AH82" s="48"/>
      <c r="AI82" s="48"/>
      <c r="AJ82" s="48"/>
      <c r="AK82" s="48"/>
      <c r="AL82" s="48"/>
    </row>
    <row r="83" spans="2:38" x14ac:dyDescent="0.35">
      <c r="B83" s="48"/>
      <c r="E83" s="48"/>
      <c r="F83" s="48"/>
      <c r="N83" s="48"/>
      <c r="O83"/>
      <c r="AG83" s="48"/>
      <c r="AH83" s="48"/>
      <c r="AI83" s="48"/>
      <c r="AJ83" s="48"/>
      <c r="AK83" s="48"/>
      <c r="AL83" s="48"/>
    </row>
    <row r="84" spans="2:38" x14ac:dyDescent="0.35">
      <c r="B84" s="48"/>
      <c r="E84" s="48"/>
      <c r="F84" s="48"/>
      <c r="N84" s="48"/>
      <c r="O84"/>
      <c r="AG84" s="48"/>
      <c r="AH84" s="48"/>
      <c r="AI84" s="48"/>
      <c r="AJ84" s="48"/>
      <c r="AK84" s="48"/>
      <c r="AL84" s="48"/>
    </row>
    <row r="85" spans="2:38" x14ac:dyDescent="0.35">
      <c r="B85" s="48"/>
      <c r="E85" s="48"/>
      <c r="F85" s="48"/>
      <c r="N85" s="48"/>
      <c r="O85"/>
      <c r="AG85" s="48"/>
      <c r="AH85" s="48"/>
      <c r="AI85" s="48"/>
      <c r="AJ85" s="48"/>
      <c r="AK85" s="48"/>
      <c r="AL85" s="48"/>
    </row>
    <row r="86" spans="2:38" x14ac:dyDescent="0.35">
      <c r="B86" s="48"/>
      <c r="E86" s="48"/>
      <c r="F86" s="48"/>
      <c r="N86" s="48"/>
      <c r="O86"/>
      <c r="AG86" s="48"/>
      <c r="AH86" s="48"/>
      <c r="AI86" s="48"/>
      <c r="AJ86" s="48"/>
      <c r="AK86" s="48"/>
      <c r="AL86" s="48"/>
    </row>
    <row r="87" spans="2:38" x14ac:dyDescent="0.35">
      <c r="B87" s="48"/>
      <c r="E87" s="48"/>
      <c r="F87" s="48"/>
      <c r="N87" s="48"/>
      <c r="O87"/>
      <c r="AG87" s="48"/>
      <c r="AH87" s="48"/>
      <c r="AI87" s="48"/>
      <c r="AJ87" s="48"/>
      <c r="AK87" s="48"/>
      <c r="AL87" s="48"/>
    </row>
    <row r="88" spans="2:38" x14ac:dyDescent="0.35">
      <c r="B88" s="48"/>
      <c r="E88" s="48"/>
      <c r="F88" s="48"/>
      <c r="N88" s="48"/>
      <c r="O88"/>
      <c r="AG88" s="48"/>
      <c r="AH88" s="48"/>
      <c r="AI88" s="48"/>
      <c r="AJ88" s="48"/>
      <c r="AK88" s="48"/>
      <c r="AL88" s="48"/>
    </row>
    <row r="89" spans="2:38" x14ac:dyDescent="0.35">
      <c r="B89" s="48"/>
      <c r="E89" s="48"/>
      <c r="F89" s="48"/>
      <c r="N89" s="48"/>
      <c r="O89"/>
      <c r="AG89" s="48"/>
      <c r="AH89" s="48"/>
      <c r="AI89" s="48"/>
      <c r="AJ89" s="48"/>
      <c r="AK89" s="48"/>
      <c r="AL89" s="48"/>
    </row>
    <row r="90" spans="2:38" x14ac:dyDescent="0.35">
      <c r="B90" s="48"/>
      <c r="E90" s="48"/>
      <c r="F90" s="48"/>
      <c r="N90" s="48"/>
      <c r="O90"/>
      <c r="AG90" s="48"/>
      <c r="AH90" s="48"/>
      <c r="AI90" s="48"/>
      <c r="AJ90" s="48"/>
      <c r="AK90" s="48"/>
      <c r="AL90" s="48"/>
    </row>
    <row r="91" spans="2:38" x14ac:dyDescent="0.35">
      <c r="B91" s="48"/>
      <c r="E91" s="48"/>
      <c r="F91" s="48"/>
      <c r="N91" s="48"/>
      <c r="O91"/>
      <c r="AG91" s="48"/>
      <c r="AH91" s="48"/>
      <c r="AI91" s="48"/>
      <c r="AJ91" s="48"/>
      <c r="AK91" s="48"/>
      <c r="AL91" s="48"/>
    </row>
    <row r="92" spans="2:38" x14ac:dyDescent="0.35">
      <c r="B92" s="48"/>
      <c r="E92" s="48"/>
      <c r="F92" s="48"/>
      <c r="N92" s="48"/>
      <c r="O92"/>
      <c r="AG92" s="48"/>
      <c r="AH92" s="48"/>
      <c r="AI92" s="48"/>
      <c r="AJ92" s="48"/>
      <c r="AK92" s="48"/>
      <c r="AL92" s="48"/>
    </row>
    <row r="93" spans="2:38" x14ac:dyDescent="0.35">
      <c r="B93" s="48"/>
      <c r="E93" s="48"/>
      <c r="F93" s="48"/>
      <c r="N93" s="48"/>
      <c r="O93"/>
      <c r="AG93" s="48"/>
      <c r="AH93" s="48"/>
      <c r="AI93" s="48"/>
      <c r="AJ93" s="48"/>
      <c r="AK93" s="48"/>
      <c r="AL93" s="48"/>
    </row>
    <row r="94" spans="2:38" x14ac:dyDescent="0.35">
      <c r="B94" s="48"/>
      <c r="E94" s="48"/>
      <c r="F94" s="48"/>
      <c r="N94" s="48"/>
      <c r="O94"/>
      <c r="AG94" s="48"/>
      <c r="AH94" s="48"/>
      <c r="AI94" s="48"/>
      <c r="AJ94" s="48"/>
      <c r="AK94" s="48"/>
      <c r="AL94" s="48"/>
    </row>
    <row r="95" spans="2:38" x14ac:dyDescent="0.35">
      <c r="B95" s="48"/>
      <c r="E95" s="48"/>
      <c r="F95" s="48"/>
      <c r="N95" s="48"/>
      <c r="O95"/>
      <c r="AG95" s="48"/>
      <c r="AH95" s="48"/>
      <c r="AI95" s="48"/>
      <c r="AJ95" s="48"/>
      <c r="AK95" s="48"/>
      <c r="AL95" s="48"/>
    </row>
    <row r="96" spans="2:38" x14ac:dyDescent="0.35">
      <c r="B96" s="48"/>
      <c r="E96" s="48"/>
      <c r="F96" s="48"/>
      <c r="N96" s="48"/>
      <c r="O96"/>
      <c r="AG96" s="48"/>
      <c r="AH96" s="48"/>
      <c r="AI96" s="48"/>
      <c r="AJ96" s="48"/>
      <c r="AK96" s="48"/>
      <c r="AL96" s="48"/>
    </row>
    <row r="97" spans="2:38" x14ac:dyDescent="0.35">
      <c r="B97" s="48"/>
      <c r="E97" s="48"/>
      <c r="F97" s="48"/>
      <c r="N97" s="48"/>
      <c r="O97"/>
      <c r="AG97" s="48"/>
      <c r="AH97" s="48"/>
      <c r="AI97" s="48"/>
      <c r="AJ97" s="48"/>
      <c r="AK97" s="48"/>
      <c r="AL97" s="48"/>
    </row>
    <row r="98" spans="2:38" x14ac:dyDescent="0.35">
      <c r="B98" s="48"/>
      <c r="E98" s="48"/>
      <c r="F98" s="48"/>
      <c r="N98" s="48"/>
      <c r="O98"/>
      <c r="AG98" s="48"/>
      <c r="AH98" s="48"/>
      <c r="AI98" s="48"/>
      <c r="AJ98" s="48"/>
      <c r="AK98" s="48"/>
      <c r="AL98" s="48"/>
    </row>
    <row r="99" spans="2:38" x14ac:dyDescent="0.35">
      <c r="B99" s="48"/>
      <c r="E99" s="48"/>
      <c r="F99" s="48"/>
      <c r="N99" s="48"/>
      <c r="O99"/>
      <c r="AG99" s="48"/>
      <c r="AH99" s="48"/>
      <c r="AI99" s="48"/>
      <c r="AJ99" s="48"/>
      <c r="AK99" s="48"/>
      <c r="AL99" s="48"/>
    </row>
    <row r="100" spans="2:38" x14ac:dyDescent="0.35">
      <c r="B100" s="48"/>
      <c r="E100" s="48"/>
      <c r="F100" s="48"/>
      <c r="N100" s="48"/>
      <c r="O100"/>
      <c r="AG100" s="48"/>
      <c r="AH100" s="48"/>
      <c r="AI100" s="48"/>
      <c r="AJ100" s="48"/>
      <c r="AK100" s="48"/>
      <c r="AL100" s="48"/>
    </row>
    <row r="101" spans="2:38" x14ac:dyDescent="0.35">
      <c r="B101" s="48"/>
      <c r="E101" s="48"/>
      <c r="F101" s="48"/>
      <c r="N101" s="48"/>
      <c r="O101"/>
      <c r="AG101" s="48"/>
      <c r="AH101" s="48"/>
      <c r="AI101" s="48"/>
      <c r="AJ101" s="48"/>
      <c r="AK101" s="48"/>
      <c r="AL101" s="48"/>
    </row>
    <row r="102" spans="2:38" x14ac:dyDescent="0.35">
      <c r="B102" s="48"/>
      <c r="E102" s="48"/>
      <c r="F102" s="48"/>
      <c r="N102" s="48"/>
      <c r="O102"/>
      <c r="AG102" s="48"/>
      <c r="AH102" s="48"/>
      <c r="AI102" s="48"/>
      <c r="AJ102" s="48"/>
      <c r="AK102" s="48"/>
      <c r="AL102" s="48"/>
    </row>
    <row r="103" spans="2:38" x14ac:dyDescent="0.35">
      <c r="B103" s="48"/>
      <c r="E103" s="48"/>
      <c r="F103" s="48"/>
      <c r="N103" s="48"/>
      <c r="O103"/>
      <c r="AG103" s="48"/>
      <c r="AH103" s="48"/>
      <c r="AI103" s="48"/>
      <c r="AJ103" s="48"/>
      <c r="AK103" s="48"/>
      <c r="AL103" s="48"/>
    </row>
    <row r="104" spans="2:38" x14ac:dyDescent="0.35">
      <c r="B104" s="48"/>
      <c r="E104" s="48"/>
      <c r="F104" s="48"/>
      <c r="N104" s="48"/>
      <c r="O104"/>
      <c r="AG104" s="48"/>
      <c r="AH104" s="48"/>
      <c r="AI104" s="48"/>
      <c r="AJ104" s="48"/>
      <c r="AK104" s="48"/>
      <c r="AL104" s="48"/>
    </row>
    <row r="105" spans="2:38" x14ac:dyDescent="0.35">
      <c r="B105" s="48"/>
      <c r="E105" s="48"/>
      <c r="F105" s="48"/>
      <c r="N105" s="48"/>
      <c r="O105"/>
      <c r="AG105" s="48"/>
      <c r="AH105" s="48"/>
      <c r="AI105" s="48"/>
      <c r="AJ105" s="48"/>
      <c r="AK105" s="48"/>
      <c r="AL105" s="48"/>
    </row>
    <row r="106" spans="2:38" x14ac:dyDescent="0.35">
      <c r="B106" s="48"/>
      <c r="E106" s="48"/>
      <c r="F106" s="48"/>
      <c r="N106" s="48"/>
      <c r="O106"/>
      <c r="AG106" s="48"/>
      <c r="AH106" s="48"/>
      <c r="AI106" s="48"/>
      <c r="AJ106" s="48"/>
      <c r="AK106" s="48"/>
      <c r="AL106" s="48"/>
    </row>
    <row r="107" spans="2:38" x14ac:dyDescent="0.35">
      <c r="B107" s="48"/>
      <c r="E107" s="48"/>
      <c r="F107" s="48"/>
      <c r="N107" s="48"/>
      <c r="O107"/>
      <c r="AG107" s="48"/>
      <c r="AH107" s="48"/>
      <c r="AI107" s="48"/>
      <c r="AJ107" s="48"/>
      <c r="AK107" s="48"/>
      <c r="AL107" s="48"/>
    </row>
    <row r="108" spans="2:38" x14ac:dyDescent="0.35">
      <c r="B108" s="48"/>
      <c r="E108" s="48"/>
      <c r="F108" s="48"/>
      <c r="N108" s="48"/>
      <c r="O108"/>
      <c r="AG108" s="48"/>
      <c r="AH108" s="48"/>
      <c r="AI108" s="48"/>
      <c r="AJ108" s="48"/>
      <c r="AK108" s="48"/>
      <c r="AL108" s="48"/>
    </row>
    <row r="109" spans="2:38" x14ac:dyDescent="0.35">
      <c r="B109" s="48"/>
      <c r="E109" s="48"/>
      <c r="F109" s="48"/>
      <c r="N109" s="48"/>
      <c r="O109"/>
      <c r="AG109" s="48"/>
      <c r="AH109" s="48"/>
      <c r="AI109" s="48"/>
      <c r="AJ109" s="48"/>
      <c r="AK109" s="48"/>
      <c r="AL109" s="48"/>
    </row>
    <row r="110" spans="2:38" x14ac:dyDescent="0.35">
      <c r="B110" s="48"/>
      <c r="E110" s="48"/>
      <c r="F110" s="48"/>
      <c r="N110" s="48"/>
      <c r="O110"/>
      <c r="AG110" s="48"/>
      <c r="AH110" s="48"/>
      <c r="AI110" s="48"/>
      <c r="AJ110" s="48"/>
      <c r="AK110" s="48"/>
      <c r="AL110" s="48"/>
    </row>
    <row r="111" spans="2:38" x14ac:dyDescent="0.35">
      <c r="B111" s="48"/>
      <c r="E111" s="48"/>
      <c r="F111" s="48"/>
      <c r="N111" s="48"/>
      <c r="O111"/>
      <c r="AG111" s="48"/>
      <c r="AH111" s="48"/>
      <c r="AI111" s="48"/>
      <c r="AJ111" s="48"/>
      <c r="AK111" s="48"/>
      <c r="AL111" s="48"/>
    </row>
    <row r="112" spans="2:38" x14ac:dyDescent="0.35">
      <c r="B112" s="48"/>
      <c r="E112" s="48"/>
      <c r="F112" s="48"/>
      <c r="N112" s="48"/>
      <c r="O112"/>
      <c r="AG112" s="48"/>
      <c r="AH112" s="48"/>
      <c r="AI112" s="48"/>
      <c r="AJ112" s="48"/>
      <c r="AK112" s="48"/>
      <c r="AL112" s="48"/>
    </row>
    <row r="113" spans="2:38" x14ac:dyDescent="0.35">
      <c r="B113" s="48"/>
      <c r="E113" s="48"/>
      <c r="F113" s="48"/>
      <c r="N113" s="48"/>
      <c r="O113"/>
      <c r="AG113" s="48"/>
      <c r="AH113" s="48"/>
      <c r="AI113" s="48"/>
      <c r="AJ113" s="48"/>
      <c r="AK113" s="48"/>
      <c r="AL113" s="48"/>
    </row>
    <row r="114" spans="2:38" x14ac:dyDescent="0.35">
      <c r="B114" s="48"/>
      <c r="E114" s="48"/>
      <c r="F114" s="48"/>
      <c r="N114" s="48"/>
      <c r="O114"/>
      <c r="AG114" s="48"/>
      <c r="AH114" s="48"/>
      <c r="AI114" s="48"/>
      <c r="AJ114" s="48"/>
      <c r="AK114" s="48"/>
      <c r="AL114" s="48"/>
    </row>
    <row r="115" spans="2:38" x14ac:dyDescent="0.35">
      <c r="B115" s="48"/>
      <c r="E115" s="48"/>
      <c r="F115" s="48"/>
      <c r="N115" s="48"/>
      <c r="O115"/>
      <c r="AG115" s="48"/>
      <c r="AH115" s="48"/>
      <c r="AI115" s="48"/>
      <c r="AJ115" s="48"/>
      <c r="AK115" s="48"/>
      <c r="AL115" s="48"/>
    </row>
    <row r="116" spans="2:38" x14ac:dyDescent="0.35">
      <c r="B116" s="48"/>
      <c r="E116" s="48"/>
      <c r="F116" s="48"/>
      <c r="N116" s="48"/>
      <c r="O116"/>
      <c r="AG116" s="48"/>
      <c r="AH116" s="48"/>
      <c r="AI116" s="48"/>
      <c r="AJ116" s="48"/>
      <c r="AK116" s="48"/>
      <c r="AL116" s="48"/>
    </row>
    <row r="117" spans="2:38" x14ac:dyDescent="0.35">
      <c r="B117" s="48"/>
      <c r="E117" s="48"/>
      <c r="F117" s="48"/>
      <c r="N117" s="48"/>
      <c r="O117"/>
      <c r="AG117" s="48"/>
      <c r="AH117" s="48"/>
      <c r="AI117" s="48"/>
      <c r="AJ117" s="48"/>
      <c r="AK117" s="48"/>
      <c r="AL117" s="48"/>
    </row>
    <row r="118" spans="2:38" x14ac:dyDescent="0.35">
      <c r="B118" s="48"/>
      <c r="E118" s="48"/>
      <c r="F118" s="48"/>
      <c r="N118" s="48"/>
      <c r="O118"/>
      <c r="AG118" s="48"/>
      <c r="AH118" s="48"/>
      <c r="AI118" s="48"/>
      <c r="AJ118" s="48"/>
      <c r="AK118" s="48"/>
      <c r="AL118" s="48"/>
    </row>
    <row r="119" spans="2:38" x14ac:dyDescent="0.35">
      <c r="B119" s="48"/>
      <c r="E119" s="48"/>
      <c r="F119" s="48"/>
      <c r="N119" s="48"/>
      <c r="O119"/>
      <c r="AG119" s="48"/>
      <c r="AH119" s="48"/>
      <c r="AI119" s="48"/>
      <c r="AJ119" s="48"/>
      <c r="AK119" s="48"/>
      <c r="AL119" s="48"/>
    </row>
    <row r="120" spans="2:38" x14ac:dyDescent="0.35">
      <c r="B120" s="48"/>
      <c r="E120" s="48"/>
      <c r="F120" s="48"/>
      <c r="N120" s="48"/>
      <c r="O120"/>
      <c r="AG120" s="48"/>
      <c r="AH120" s="48"/>
      <c r="AI120" s="48"/>
      <c r="AJ120" s="48"/>
      <c r="AK120" s="48"/>
      <c r="AL120" s="48"/>
    </row>
    <row r="121" spans="2:38" x14ac:dyDescent="0.35">
      <c r="B121" s="48"/>
      <c r="E121" s="48"/>
      <c r="F121" s="48"/>
      <c r="N121" s="48"/>
      <c r="O121"/>
      <c r="AG121" s="48"/>
      <c r="AH121" s="48"/>
      <c r="AI121" s="48"/>
      <c r="AJ121" s="48"/>
      <c r="AK121" s="48"/>
      <c r="AL121" s="48"/>
    </row>
    <row r="122" spans="2:38" x14ac:dyDescent="0.35">
      <c r="B122" s="48"/>
      <c r="E122" s="48"/>
      <c r="F122" s="48"/>
      <c r="N122" s="48"/>
      <c r="O122"/>
      <c r="AG122" s="48"/>
      <c r="AH122" s="48"/>
      <c r="AI122" s="48"/>
      <c r="AJ122" s="48"/>
      <c r="AK122" s="48"/>
      <c r="AL122" s="48"/>
    </row>
    <row r="123" spans="2:38" x14ac:dyDescent="0.35">
      <c r="B123" s="48"/>
      <c r="E123" s="48"/>
      <c r="F123" s="48"/>
      <c r="N123" s="48"/>
      <c r="O123"/>
      <c r="AG123" s="48"/>
      <c r="AH123" s="48"/>
      <c r="AI123" s="48"/>
      <c r="AJ123" s="48"/>
      <c r="AK123" s="48"/>
      <c r="AL123" s="48"/>
    </row>
    <row r="124" spans="2:38" x14ac:dyDescent="0.35">
      <c r="B124" s="48"/>
      <c r="E124" s="48"/>
      <c r="F124" s="48"/>
      <c r="N124" s="48"/>
      <c r="O124"/>
      <c r="AG124" s="48"/>
      <c r="AH124" s="48"/>
      <c r="AI124" s="48"/>
      <c r="AJ124" s="48"/>
      <c r="AK124" s="48"/>
      <c r="AL124" s="48"/>
    </row>
    <row r="125" spans="2:38" x14ac:dyDescent="0.35">
      <c r="B125" s="48"/>
      <c r="E125" s="48"/>
      <c r="F125" s="48"/>
      <c r="N125" s="48"/>
      <c r="O125"/>
      <c r="AG125" s="48"/>
      <c r="AH125" s="48"/>
      <c r="AI125" s="48"/>
      <c r="AJ125" s="48"/>
      <c r="AK125" s="48"/>
      <c r="AL125" s="48"/>
    </row>
    <row r="126" spans="2:38" x14ac:dyDescent="0.35">
      <c r="B126" s="48"/>
      <c r="E126" s="48"/>
      <c r="F126" s="48"/>
      <c r="N126" s="48"/>
      <c r="O126"/>
      <c r="AG126" s="48"/>
      <c r="AH126" s="48"/>
      <c r="AI126" s="48"/>
      <c r="AJ126" s="48"/>
      <c r="AK126" s="48"/>
      <c r="AL126" s="48"/>
    </row>
    <row r="127" spans="2:38" x14ac:dyDescent="0.35">
      <c r="B127" s="48"/>
      <c r="E127" s="48"/>
      <c r="F127" s="48"/>
      <c r="N127" s="48"/>
      <c r="O127"/>
      <c r="AG127" s="48"/>
      <c r="AH127" s="48"/>
      <c r="AI127" s="48"/>
      <c r="AJ127" s="48"/>
      <c r="AK127" s="48"/>
      <c r="AL127" s="48"/>
    </row>
    <row r="128" spans="2:38" x14ac:dyDescent="0.35">
      <c r="B128" s="48"/>
      <c r="E128" s="48"/>
      <c r="F128" s="48"/>
      <c r="N128" s="48"/>
      <c r="O128"/>
      <c r="AG128" s="48"/>
      <c r="AH128" s="48"/>
      <c r="AI128" s="48"/>
      <c r="AJ128" s="48"/>
      <c r="AK128" s="48"/>
      <c r="AL128" s="48"/>
    </row>
    <row r="129" spans="2:38" x14ac:dyDescent="0.35">
      <c r="B129" s="48"/>
      <c r="E129" s="48"/>
      <c r="F129" s="48"/>
      <c r="N129" s="48"/>
      <c r="O129"/>
      <c r="AG129" s="48"/>
      <c r="AH129" s="48"/>
      <c r="AI129" s="48"/>
      <c r="AJ129" s="48"/>
      <c r="AK129" s="48"/>
      <c r="AL129" s="48"/>
    </row>
    <row r="130" spans="2:38" x14ac:dyDescent="0.35">
      <c r="B130" s="48"/>
      <c r="E130" s="48"/>
      <c r="F130" s="48"/>
      <c r="N130" s="48"/>
      <c r="O130"/>
      <c r="AG130" s="48"/>
      <c r="AH130" s="48"/>
      <c r="AI130" s="48"/>
      <c r="AJ130" s="48"/>
      <c r="AK130" s="48"/>
      <c r="AL130" s="48"/>
    </row>
    <row r="131" spans="2:38" x14ac:dyDescent="0.35">
      <c r="B131" s="48"/>
      <c r="E131" s="48"/>
      <c r="F131" s="48"/>
      <c r="N131" s="48"/>
      <c r="O131"/>
      <c r="AG131" s="48"/>
      <c r="AH131" s="48"/>
      <c r="AI131" s="48"/>
      <c r="AJ131" s="48"/>
      <c r="AK131" s="48"/>
      <c r="AL131" s="48"/>
    </row>
    <row r="132" spans="2:38" x14ac:dyDescent="0.35">
      <c r="B132" s="48"/>
      <c r="E132" s="48"/>
      <c r="F132" s="48"/>
      <c r="N132" s="48"/>
      <c r="O132"/>
      <c r="AG132" s="48"/>
      <c r="AH132" s="48"/>
      <c r="AI132" s="48"/>
      <c r="AJ132" s="48"/>
      <c r="AK132" s="48"/>
      <c r="AL132" s="48"/>
    </row>
    <row r="133" spans="2:38" x14ac:dyDescent="0.35">
      <c r="B133" s="48"/>
      <c r="E133" s="48"/>
      <c r="F133" s="48"/>
      <c r="N133" s="48"/>
      <c r="O133"/>
      <c r="AG133" s="48"/>
      <c r="AH133" s="48"/>
      <c r="AI133" s="48"/>
      <c r="AJ133" s="48"/>
      <c r="AK133" s="48"/>
      <c r="AL133" s="48"/>
    </row>
    <row r="134" spans="2:38" x14ac:dyDescent="0.35">
      <c r="B134" s="48"/>
      <c r="E134" s="48"/>
      <c r="F134" s="48"/>
      <c r="N134" s="48"/>
      <c r="O134"/>
      <c r="AG134" s="48"/>
      <c r="AH134" s="48"/>
      <c r="AI134" s="48"/>
      <c r="AJ134" s="48"/>
      <c r="AK134" s="48"/>
      <c r="AL134" s="48"/>
    </row>
    <row r="135" spans="2:38" x14ac:dyDescent="0.35">
      <c r="B135" s="48"/>
      <c r="E135" s="48"/>
      <c r="F135" s="48"/>
      <c r="N135" s="48"/>
      <c r="O135"/>
      <c r="AG135" s="48"/>
      <c r="AH135" s="48"/>
      <c r="AI135" s="48"/>
      <c r="AJ135" s="48"/>
      <c r="AK135" s="48"/>
      <c r="AL135" s="48"/>
    </row>
    <row r="136" spans="2:38" x14ac:dyDescent="0.35">
      <c r="B136" s="48"/>
      <c r="E136" s="48"/>
      <c r="F136" s="48"/>
      <c r="N136" s="48"/>
      <c r="O136"/>
      <c r="AG136" s="48"/>
      <c r="AH136" s="48"/>
      <c r="AI136" s="48"/>
      <c r="AJ136" s="48"/>
      <c r="AK136" s="48"/>
      <c r="AL136" s="48"/>
    </row>
    <row r="137" spans="2:38" x14ac:dyDescent="0.35">
      <c r="B137" s="48"/>
      <c r="E137" s="48"/>
      <c r="F137" s="48"/>
      <c r="N137" s="48"/>
      <c r="O137"/>
      <c r="AG137" s="48"/>
      <c r="AH137" s="48"/>
      <c r="AI137" s="48"/>
      <c r="AJ137" s="48"/>
      <c r="AK137" s="48"/>
      <c r="AL137" s="48"/>
    </row>
    <row r="138" spans="2:38" x14ac:dyDescent="0.35">
      <c r="B138" s="48"/>
      <c r="E138" s="48"/>
      <c r="F138" s="48"/>
      <c r="N138" s="48"/>
      <c r="O138"/>
      <c r="AG138" s="48"/>
      <c r="AH138" s="48"/>
      <c r="AI138" s="48"/>
      <c r="AJ138" s="48"/>
      <c r="AK138" s="48"/>
      <c r="AL138" s="48"/>
    </row>
    <row r="139" spans="2:38" x14ac:dyDescent="0.35">
      <c r="B139" s="48"/>
      <c r="E139" s="48"/>
      <c r="F139" s="48"/>
      <c r="N139" s="48"/>
      <c r="O139"/>
      <c r="AG139" s="48"/>
      <c r="AH139" s="48"/>
      <c r="AI139" s="48"/>
      <c r="AJ139" s="48"/>
      <c r="AK139" s="48"/>
      <c r="AL139" s="48"/>
    </row>
    <row r="140" spans="2:38" x14ac:dyDescent="0.35">
      <c r="B140" s="48"/>
      <c r="E140" s="48"/>
      <c r="F140" s="48"/>
      <c r="N140" s="48"/>
      <c r="O140"/>
      <c r="AG140" s="48"/>
      <c r="AH140" s="48"/>
      <c r="AI140" s="48"/>
      <c r="AJ140" s="48"/>
      <c r="AK140" s="48"/>
      <c r="AL140" s="48"/>
    </row>
    <row r="141" spans="2:38" x14ac:dyDescent="0.35">
      <c r="B141" s="48"/>
      <c r="E141" s="48"/>
      <c r="F141" s="48"/>
      <c r="N141" s="48"/>
      <c r="O141"/>
      <c r="AG141" s="48"/>
      <c r="AH141" s="48"/>
      <c r="AI141" s="48"/>
      <c r="AJ141" s="48"/>
      <c r="AK141" s="48"/>
      <c r="AL141" s="48"/>
    </row>
    <row r="142" spans="2:38" x14ac:dyDescent="0.35">
      <c r="B142" s="48"/>
      <c r="E142" s="48"/>
      <c r="F142" s="48"/>
      <c r="N142" s="48"/>
      <c r="O142"/>
      <c r="AG142" s="48"/>
      <c r="AH142" s="48"/>
      <c r="AI142" s="48"/>
      <c r="AJ142" s="48"/>
      <c r="AK142" s="48"/>
      <c r="AL142" s="48"/>
    </row>
    <row r="143" spans="2:38" x14ac:dyDescent="0.35">
      <c r="B143" s="48"/>
      <c r="E143" s="48"/>
      <c r="F143" s="48"/>
      <c r="N143" s="48"/>
      <c r="O143"/>
      <c r="AG143" s="48"/>
      <c r="AH143" s="48"/>
      <c r="AI143" s="48"/>
      <c r="AJ143" s="48"/>
      <c r="AK143" s="48"/>
      <c r="AL143" s="48"/>
    </row>
    <row r="144" spans="2:38" x14ac:dyDescent="0.35">
      <c r="B144" s="48"/>
      <c r="E144" s="48"/>
      <c r="F144" s="48"/>
      <c r="N144" s="48"/>
      <c r="O144"/>
      <c r="AG144" s="48"/>
      <c r="AH144" s="48"/>
      <c r="AI144" s="48"/>
      <c r="AJ144" s="48"/>
      <c r="AK144" s="48"/>
      <c r="AL144" s="48"/>
    </row>
    <row r="145" spans="2:38" x14ac:dyDescent="0.35">
      <c r="B145" s="48"/>
      <c r="E145" s="48"/>
      <c r="F145" s="48"/>
      <c r="N145" s="48"/>
      <c r="O145"/>
      <c r="AG145" s="48"/>
      <c r="AH145" s="48"/>
      <c r="AI145" s="48"/>
      <c r="AJ145" s="48"/>
      <c r="AK145" s="48"/>
      <c r="AL145" s="48"/>
    </row>
    <row r="146" spans="2:38" x14ac:dyDescent="0.35">
      <c r="B146" s="48"/>
      <c r="E146" s="48"/>
      <c r="F146" s="48"/>
      <c r="N146" s="48"/>
      <c r="O146"/>
      <c r="AG146" s="48"/>
      <c r="AH146" s="48"/>
      <c r="AI146" s="48"/>
      <c r="AJ146" s="48"/>
      <c r="AK146" s="48"/>
      <c r="AL146" s="48"/>
    </row>
    <row r="147" spans="2:38" x14ac:dyDescent="0.35">
      <c r="B147" s="48"/>
      <c r="E147" s="48"/>
      <c r="F147" s="48"/>
      <c r="N147" s="48"/>
      <c r="O147"/>
      <c r="AG147" s="48"/>
      <c r="AH147" s="48"/>
      <c r="AI147" s="48"/>
      <c r="AJ147" s="48"/>
      <c r="AK147" s="48"/>
      <c r="AL147" s="48"/>
    </row>
    <row r="148" spans="2:38" x14ac:dyDescent="0.35">
      <c r="B148" s="48"/>
      <c r="E148" s="48"/>
      <c r="F148" s="48"/>
      <c r="N148" s="48"/>
      <c r="O148"/>
      <c r="AG148" s="48"/>
      <c r="AH148" s="48"/>
      <c r="AI148" s="48"/>
      <c r="AJ148" s="48"/>
      <c r="AK148" s="48"/>
      <c r="AL148" s="48"/>
    </row>
    <row r="149" spans="2:38" x14ac:dyDescent="0.35">
      <c r="B149" s="48"/>
      <c r="E149" s="48"/>
      <c r="F149" s="48"/>
      <c r="N149" s="48"/>
      <c r="O149"/>
      <c r="AG149" s="48"/>
      <c r="AH149" s="48"/>
      <c r="AI149" s="48"/>
      <c r="AJ149" s="48"/>
      <c r="AK149" s="48"/>
      <c r="AL149" s="48"/>
    </row>
    <row r="150" spans="2:38" x14ac:dyDescent="0.35">
      <c r="B150" s="48"/>
      <c r="E150" s="48"/>
      <c r="F150" s="48"/>
      <c r="N150" s="48"/>
      <c r="O150"/>
      <c r="AG150" s="48"/>
      <c r="AH150" s="48"/>
      <c r="AI150" s="48"/>
      <c r="AJ150" s="48"/>
      <c r="AK150" s="48"/>
      <c r="AL150" s="48"/>
    </row>
    <row r="151" spans="2:38" x14ac:dyDescent="0.35">
      <c r="B151" s="48"/>
      <c r="E151" s="48"/>
      <c r="F151" s="48"/>
      <c r="N151" s="48"/>
      <c r="O151"/>
      <c r="AG151" s="48"/>
      <c r="AH151" s="48"/>
      <c r="AI151" s="48"/>
      <c r="AJ151" s="48"/>
      <c r="AK151" s="48"/>
      <c r="AL151" s="48"/>
    </row>
    <row r="152" spans="2:38" x14ac:dyDescent="0.35">
      <c r="B152" s="48"/>
      <c r="E152" s="48"/>
      <c r="F152" s="48"/>
      <c r="N152" s="48"/>
      <c r="O152"/>
      <c r="AG152" s="48"/>
      <c r="AH152" s="48"/>
      <c r="AI152" s="48"/>
      <c r="AJ152" s="48"/>
      <c r="AK152" s="48"/>
      <c r="AL152" s="48"/>
    </row>
    <row r="153" spans="2:38" x14ac:dyDescent="0.35">
      <c r="B153" s="48"/>
      <c r="E153" s="48"/>
      <c r="F153" s="48"/>
      <c r="N153" s="48"/>
      <c r="O153"/>
      <c r="AG153" s="48"/>
      <c r="AH153" s="48"/>
      <c r="AI153" s="48"/>
      <c r="AJ153" s="48"/>
      <c r="AK153" s="48"/>
      <c r="AL153" s="48"/>
    </row>
    <row r="154" spans="2:38" x14ac:dyDescent="0.35">
      <c r="B154" s="48"/>
      <c r="E154" s="48"/>
      <c r="F154" s="48"/>
      <c r="N154" s="48"/>
      <c r="O154"/>
    </row>
    <row r="155" spans="2:38" x14ac:dyDescent="0.35">
      <c r="B155" s="48"/>
      <c r="E155" s="48"/>
      <c r="F155" s="48"/>
      <c r="N155" s="48"/>
      <c r="O155"/>
    </row>
    <row r="156" spans="2:38" x14ac:dyDescent="0.35">
      <c r="B156" s="48"/>
      <c r="E156" s="48"/>
      <c r="F156" s="48"/>
      <c r="N156" s="48"/>
      <c r="O156"/>
    </row>
    <row r="157" spans="2:38" x14ac:dyDescent="0.35">
      <c r="B157" s="48"/>
      <c r="E157" s="48"/>
      <c r="F157" s="48"/>
      <c r="N157" s="48"/>
      <c r="O157"/>
    </row>
    <row r="158" spans="2:38" x14ac:dyDescent="0.35">
      <c r="B158" s="48"/>
      <c r="E158" s="48"/>
      <c r="F158" s="48"/>
      <c r="N158" s="48"/>
      <c r="O158"/>
    </row>
    <row r="159" spans="2:38" x14ac:dyDescent="0.35">
      <c r="B159" s="48"/>
      <c r="E159" s="48"/>
      <c r="F159" s="48"/>
      <c r="N159" s="48"/>
      <c r="O159"/>
    </row>
    <row r="160" spans="2:38" x14ac:dyDescent="0.35">
      <c r="B160" s="48"/>
      <c r="E160" s="48"/>
      <c r="F160" s="48"/>
      <c r="N160" s="48"/>
      <c r="O160"/>
    </row>
    <row r="161" spans="2:15" x14ac:dyDescent="0.35">
      <c r="B161" s="48"/>
      <c r="E161" s="48"/>
      <c r="F161" s="48"/>
      <c r="N161" s="48"/>
      <c r="O161"/>
    </row>
    <row r="162" spans="2:15" x14ac:dyDescent="0.35">
      <c r="B162" s="48"/>
      <c r="E162" s="48"/>
      <c r="F162" s="48"/>
      <c r="N162" s="48"/>
      <c r="O162"/>
    </row>
    <row r="163" spans="2:15" x14ac:dyDescent="0.35">
      <c r="B163" s="48"/>
      <c r="E163" s="48"/>
      <c r="F163" s="48"/>
      <c r="N163" s="48"/>
      <c r="O163"/>
    </row>
    <row r="164" spans="2:15" x14ac:dyDescent="0.35">
      <c r="B164" s="48"/>
      <c r="E164" s="48"/>
      <c r="F164" s="48"/>
      <c r="N164" s="48"/>
      <c r="O164"/>
    </row>
    <row r="165" spans="2:15" x14ac:dyDescent="0.35">
      <c r="B165" s="48"/>
      <c r="E165" s="48"/>
      <c r="F165" s="48"/>
      <c r="N165" s="48"/>
      <c r="O165"/>
    </row>
    <row r="166" spans="2:15" x14ac:dyDescent="0.35">
      <c r="B166" s="48"/>
      <c r="E166" s="48"/>
      <c r="F166" s="48"/>
      <c r="N166" s="48"/>
      <c r="O166"/>
    </row>
    <row r="167" spans="2:15" x14ac:dyDescent="0.35">
      <c r="B167" s="48"/>
      <c r="E167" s="48"/>
      <c r="F167" s="48"/>
      <c r="N167" s="48"/>
      <c r="O167"/>
    </row>
    <row r="168" spans="2:15" x14ac:dyDescent="0.35">
      <c r="B168" s="48"/>
      <c r="E168" s="48"/>
      <c r="F168" s="48"/>
      <c r="N168" s="48"/>
      <c r="O168"/>
    </row>
    <row r="169" spans="2:15" x14ac:dyDescent="0.35">
      <c r="B169" s="48"/>
      <c r="E169" s="48"/>
      <c r="F169" s="48"/>
      <c r="N169" s="48"/>
      <c r="O169"/>
    </row>
    <row r="170" spans="2:15" x14ac:dyDescent="0.35">
      <c r="B170" s="48"/>
      <c r="E170" s="48"/>
      <c r="F170" s="48"/>
      <c r="N170" s="48"/>
      <c r="O170"/>
    </row>
    <row r="171" spans="2:15" x14ac:dyDescent="0.35">
      <c r="B171" s="48"/>
      <c r="E171" s="48"/>
      <c r="F171" s="48"/>
      <c r="N171" s="48"/>
      <c r="O171"/>
    </row>
    <row r="172" spans="2:15" x14ac:dyDescent="0.35">
      <c r="B172" s="48"/>
      <c r="E172" s="48"/>
      <c r="F172" s="48"/>
      <c r="N172" s="48"/>
      <c r="O172"/>
    </row>
    <row r="173" spans="2:15" x14ac:dyDescent="0.35">
      <c r="B173" s="48"/>
      <c r="E173" s="48"/>
      <c r="F173" s="48"/>
      <c r="N173" s="48"/>
      <c r="O173"/>
    </row>
    <row r="174" spans="2:15" x14ac:dyDescent="0.35">
      <c r="B174" s="48"/>
      <c r="E174" s="48"/>
      <c r="F174" s="48"/>
      <c r="N174" s="48"/>
      <c r="O174"/>
    </row>
    <row r="175" spans="2:15" x14ac:dyDescent="0.35">
      <c r="B175" s="48"/>
      <c r="E175" s="48"/>
      <c r="F175" s="48"/>
      <c r="N175" s="48"/>
      <c r="O175"/>
    </row>
    <row r="176" spans="2:15" x14ac:dyDescent="0.35">
      <c r="B176" s="48"/>
      <c r="E176" s="48"/>
      <c r="F176" s="48"/>
      <c r="N176" s="48"/>
      <c r="O176"/>
    </row>
    <row r="177" spans="2:15" x14ac:dyDescent="0.35">
      <c r="B177" s="48"/>
      <c r="E177" s="48"/>
      <c r="F177" s="48"/>
      <c r="N177" s="48"/>
      <c r="O177"/>
    </row>
    <row r="178" spans="2:15" x14ac:dyDescent="0.35">
      <c r="B178" s="48"/>
      <c r="E178" s="48"/>
      <c r="F178" s="48"/>
      <c r="N178" s="48"/>
      <c r="O178"/>
    </row>
    <row r="179" spans="2:15" x14ac:dyDescent="0.35">
      <c r="B179" s="48"/>
      <c r="E179" s="48"/>
      <c r="F179" s="48"/>
      <c r="N179" s="48"/>
      <c r="O179"/>
    </row>
    <row r="180" spans="2:15" x14ac:dyDescent="0.35">
      <c r="B180" s="48"/>
      <c r="E180" s="48"/>
      <c r="F180" s="48"/>
      <c r="N180" s="48"/>
      <c r="O180"/>
    </row>
    <row r="181" spans="2:15" x14ac:dyDescent="0.35">
      <c r="B181" s="48"/>
      <c r="E181" s="48"/>
      <c r="F181" s="48"/>
      <c r="N181" s="48"/>
      <c r="O181"/>
    </row>
    <row r="182" spans="2:15" x14ac:dyDescent="0.35">
      <c r="B182" s="48"/>
      <c r="E182" s="48"/>
      <c r="F182" s="48"/>
      <c r="N182" s="48"/>
      <c r="O182"/>
    </row>
    <row r="183" spans="2:15" x14ac:dyDescent="0.35">
      <c r="B183" s="48"/>
      <c r="E183" s="48"/>
      <c r="F183" s="48"/>
      <c r="N183" s="48"/>
      <c r="O183"/>
    </row>
    <row r="184" spans="2:15" x14ac:dyDescent="0.35">
      <c r="B184" s="48"/>
      <c r="E184" s="48"/>
      <c r="F184" s="48"/>
      <c r="N184" s="48"/>
      <c r="O184"/>
    </row>
    <row r="185" spans="2:15" x14ac:dyDescent="0.35">
      <c r="B185" s="48"/>
      <c r="E185" s="48"/>
      <c r="F185" s="48"/>
      <c r="N185" s="48"/>
      <c r="O185"/>
    </row>
    <row r="186" spans="2:15" x14ac:dyDescent="0.35">
      <c r="B186" s="48"/>
      <c r="E186" s="48"/>
      <c r="F186" s="48"/>
      <c r="N186" s="48"/>
      <c r="O186"/>
    </row>
    <row r="187" spans="2:15" x14ac:dyDescent="0.35">
      <c r="B187" s="48"/>
      <c r="E187" s="48"/>
      <c r="F187" s="48"/>
      <c r="N187" s="48"/>
      <c r="O187"/>
    </row>
    <row r="188" spans="2:15" x14ac:dyDescent="0.35">
      <c r="B188" s="48"/>
      <c r="E188" s="48"/>
      <c r="F188" s="48"/>
      <c r="N188" s="48"/>
      <c r="O188"/>
    </row>
    <row r="189" spans="2:15" x14ac:dyDescent="0.35">
      <c r="B189" s="48"/>
      <c r="E189" s="48"/>
      <c r="F189" s="48"/>
      <c r="N189" s="48"/>
      <c r="O189"/>
    </row>
    <row r="190" spans="2:15" x14ac:dyDescent="0.35">
      <c r="B190" s="48"/>
      <c r="E190" s="48"/>
      <c r="F190" s="48"/>
      <c r="N190" s="48"/>
      <c r="O190"/>
    </row>
    <row r="191" spans="2:15" x14ac:dyDescent="0.35">
      <c r="B191" s="48"/>
      <c r="E191" s="48"/>
      <c r="F191" s="48"/>
      <c r="N191" s="48"/>
      <c r="O191"/>
    </row>
    <row r="192" spans="2:15" x14ac:dyDescent="0.35">
      <c r="B192" s="48"/>
      <c r="E192" s="48"/>
      <c r="F192" s="48"/>
      <c r="N192" s="48"/>
      <c r="O192"/>
    </row>
    <row r="193" spans="2:15" x14ac:dyDescent="0.35">
      <c r="B193" s="48"/>
      <c r="E193" s="48"/>
      <c r="F193" s="48"/>
      <c r="N193" s="48"/>
      <c r="O193"/>
    </row>
    <row r="194" spans="2:15" x14ac:dyDescent="0.35">
      <c r="B194" s="48"/>
      <c r="E194" s="48"/>
      <c r="F194" s="48"/>
      <c r="N194" s="48"/>
      <c r="O194"/>
    </row>
    <row r="195" spans="2:15" x14ac:dyDescent="0.35">
      <c r="B195" s="48"/>
      <c r="E195" s="48"/>
      <c r="F195" s="48"/>
      <c r="N195" s="48"/>
      <c r="O195"/>
    </row>
    <row r="196" spans="2:15" x14ac:dyDescent="0.35">
      <c r="B196" s="48"/>
      <c r="E196" s="48"/>
      <c r="F196" s="48"/>
      <c r="N196" s="48"/>
      <c r="O196"/>
    </row>
    <row r="197" spans="2:15" x14ac:dyDescent="0.35">
      <c r="B197" s="48"/>
      <c r="E197" s="48"/>
      <c r="F197" s="48"/>
      <c r="N197" s="48"/>
      <c r="O197"/>
    </row>
    <row r="198" spans="2:15" x14ac:dyDescent="0.35">
      <c r="B198" s="48"/>
      <c r="E198" s="48"/>
      <c r="F198" s="48"/>
      <c r="N198" s="48"/>
      <c r="O198"/>
    </row>
    <row r="199" spans="2:15" x14ac:dyDescent="0.35">
      <c r="B199" s="48"/>
      <c r="E199" s="48"/>
      <c r="F199" s="48"/>
      <c r="N199" s="48"/>
      <c r="O199"/>
    </row>
    <row r="200" spans="2:15" x14ac:dyDescent="0.35">
      <c r="B200" s="48"/>
      <c r="E200" s="48"/>
      <c r="F200" s="48"/>
      <c r="N200" s="48"/>
      <c r="O200"/>
    </row>
    <row r="201" spans="2:15" x14ac:dyDescent="0.35">
      <c r="B201" s="48"/>
      <c r="E201" s="48"/>
      <c r="F201" s="48"/>
      <c r="N201" s="48"/>
      <c r="O201"/>
    </row>
    <row r="202" spans="2:15" x14ac:dyDescent="0.35">
      <c r="B202" s="48"/>
      <c r="E202" s="48"/>
      <c r="F202" s="48"/>
      <c r="N202" s="48"/>
      <c r="O202"/>
    </row>
    <row r="203" spans="2:15" x14ac:dyDescent="0.35">
      <c r="B203" s="48"/>
      <c r="E203" s="48"/>
      <c r="F203" s="48"/>
      <c r="N203" s="48"/>
      <c r="O203"/>
    </row>
    <row r="204" spans="2:15" x14ac:dyDescent="0.35">
      <c r="B204" s="48"/>
      <c r="E204" s="48"/>
      <c r="F204" s="48"/>
      <c r="N204" s="48"/>
      <c r="O204"/>
    </row>
    <row r="205" spans="2:15" x14ac:dyDescent="0.35">
      <c r="B205" s="48"/>
      <c r="E205" s="48"/>
      <c r="F205" s="48"/>
      <c r="N205" s="48"/>
      <c r="O205"/>
    </row>
    <row r="206" spans="2:15" x14ac:dyDescent="0.35">
      <c r="B206" s="48"/>
      <c r="E206" s="48"/>
      <c r="F206" s="48"/>
      <c r="N206" s="48"/>
      <c r="O206"/>
    </row>
    <row r="207" spans="2:15" x14ac:dyDescent="0.35">
      <c r="B207" s="48"/>
      <c r="E207" s="48"/>
      <c r="F207" s="48"/>
      <c r="N207" s="48"/>
      <c r="O207"/>
    </row>
    <row r="208" spans="2:15" x14ac:dyDescent="0.35">
      <c r="B208" s="48"/>
      <c r="E208" s="48"/>
      <c r="F208" s="48"/>
      <c r="N208" s="48"/>
      <c r="O208"/>
    </row>
    <row r="209" spans="2:15" x14ac:dyDescent="0.35">
      <c r="B209" s="48"/>
      <c r="E209" s="48"/>
      <c r="F209" s="48"/>
      <c r="N209" s="48"/>
      <c r="O209"/>
    </row>
    <row r="210" spans="2:15" x14ac:dyDescent="0.35">
      <c r="B210" s="48"/>
      <c r="E210" s="48"/>
      <c r="F210" s="48"/>
      <c r="N210" s="48"/>
      <c r="O210"/>
    </row>
    <row r="211" spans="2:15" x14ac:dyDescent="0.35">
      <c r="B211" s="48"/>
      <c r="E211" s="48"/>
      <c r="F211" s="48"/>
      <c r="N211" s="48"/>
      <c r="O211"/>
    </row>
    <row r="212" spans="2:15" x14ac:dyDescent="0.35">
      <c r="B212" s="48"/>
      <c r="E212" s="48"/>
      <c r="F212" s="48"/>
      <c r="N212" s="48"/>
      <c r="O212"/>
    </row>
    <row r="213" spans="2:15" x14ac:dyDescent="0.35">
      <c r="B213" s="48"/>
      <c r="E213" s="48"/>
      <c r="F213" s="48"/>
      <c r="N213" s="48"/>
      <c r="O213"/>
    </row>
    <row r="214" spans="2:15" x14ac:dyDescent="0.35">
      <c r="B214" s="48"/>
      <c r="E214" s="48"/>
      <c r="F214" s="48"/>
      <c r="N214" s="48"/>
      <c r="O214"/>
    </row>
    <row r="215" spans="2:15" x14ac:dyDescent="0.35">
      <c r="B215" s="48"/>
      <c r="E215" s="48"/>
      <c r="F215" s="48"/>
      <c r="N215" s="48"/>
      <c r="O215"/>
    </row>
    <row r="216" spans="2:15" x14ac:dyDescent="0.35">
      <c r="B216" s="48"/>
      <c r="E216" s="48"/>
      <c r="F216" s="48"/>
      <c r="N216" s="48"/>
      <c r="O216"/>
    </row>
    <row r="217" spans="2:15" x14ac:dyDescent="0.35">
      <c r="B217" s="48"/>
      <c r="E217" s="48"/>
      <c r="F217" s="48"/>
      <c r="N217" s="48"/>
      <c r="O217"/>
    </row>
    <row r="218" spans="2:15" x14ac:dyDescent="0.35">
      <c r="B218" s="48"/>
      <c r="E218" s="48"/>
      <c r="F218" s="48"/>
      <c r="N218" s="48"/>
      <c r="O218"/>
    </row>
    <row r="219" spans="2:15" x14ac:dyDescent="0.35">
      <c r="B219" s="48"/>
      <c r="E219" s="48"/>
      <c r="F219" s="48"/>
      <c r="N219" s="48"/>
      <c r="O219"/>
    </row>
    <row r="220" spans="2:15" x14ac:dyDescent="0.35">
      <c r="B220" s="48"/>
      <c r="E220" s="48"/>
      <c r="F220" s="48"/>
      <c r="N220" s="48"/>
      <c r="O220"/>
    </row>
    <row r="221" spans="2:15" x14ac:dyDescent="0.35">
      <c r="B221" s="48"/>
      <c r="E221" s="48"/>
      <c r="F221" s="48"/>
      <c r="N221" s="48"/>
      <c r="O221"/>
    </row>
    <row r="222" spans="2:15" x14ac:dyDescent="0.35">
      <c r="B222" s="48"/>
      <c r="E222" s="48"/>
      <c r="F222" s="48"/>
      <c r="N222" s="48"/>
      <c r="O222"/>
    </row>
    <row r="223" spans="2:15" x14ac:dyDescent="0.35">
      <c r="B223" s="48"/>
      <c r="E223" s="48"/>
      <c r="F223" s="48"/>
      <c r="N223" s="48"/>
      <c r="O223"/>
    </row>
    <row r="224" spans="2:15" x14ac:dyDescent="0.35">
      <c r="B224" s="48"/>
      <c r="E224" s="48"/>
      <c r="F224" s="48"/>
      <c r="N224" s="48"/>
      <c r="O224"/>
    </row>
    <row r="225" spans="2:15" x14ac:dyDescent="0.35">
      <c r="B225" s="48"/>
      <c r="E225" s="48"/>
      <c r="F225" s="48"/>
      <c r="N225" s="48"/>
      <c r="O225"/>
    </row>
    <row r="226" spans="2:15" x14ac:dyDescent="0.35">
      <c r="B226" s="48"/>
      <c r="E226" s="48"/>
      <c r="F226" s="48"/>
      <c r="N226" s="48"/>
      <c r="O226"/>
    </row>
    <row r="227" spans="2:15" x14ac:dyDescent="0.35">
      <c r="B227" s="48"/>
      <c r="E227" s="48"/>
      <c r="F227" s="48"/>
      <c r="N227" s="48"/>
      <c r="O227"/>
    </row>
    <row r="228" spans="2:15" x14ac:dyDescent="0.35">
      <c r="B228" s="48"/>
      <c r="E228" s="48"/>
      <c r="F228" s="48"/>
      <c r="N228" s="48"/>
      <c r="O228"/>
    </row>
    <row r="229" spans="2:15" x14ac:dyDescent="0.35">
      <c r="B229" s="48"/>
      <c r="E229" s="48"/>
      <c r="F229" s="48"/>
      <c r="N229" s="48"/>
      <c r="O229"/>
    </row>
    <row r="230" spans="2:15" x14ac:dyDescent="0.35">
      <c r="B230" s="48"/>
      <c r="E230" s="48"/>
      <c r="F230" s="48"/>
      <c r="N230" s="48"/>
      <c r="O230"/>
    </row>
    <row r="231" spans="2:15" x14ac:dyDescent="0.35">
      <c r="B231" s="48"/>
      <c r="E231" s="48"/>
      <c r="F231" s="48"/>
      <c r="N231" s="48"/>
      <c r="O231"/>
    </row>
    <row r="232" spans="2:15" x14ac:dyDescent="0.35">
      <c r="B232" s="48"/>
      <c r="E232" s="48"/>
      <c r="F232" s="48"/>
      <c r="N232" s="48"/>
      <c r="O232"/>
    </row>
    <row r="233" spans="2:15" x14ac:dyDescent="0.35">
      <c r="B233" s="48"/>
      <c r="E233" s="48"/>
      <c r="F233" s="48"/>
      <c r="N233" s="48"/>
      <c r="O233"/>
    </row>
    <row r="234" spans="2:15" x14ac:dyDescent="0.35">
      <c r="B234" s="48"/>
      <c r="E234" s="48"/>
      <c r="F234" s="48"/>
      <c r="N234" s="48"/>
      <c r="O234"/>
    </row>
    <row r="235" spans="2:15" x14ac:dyDescent="0.35">
      <c r="B235" s="48"/>
      <c r="E235" s="48"/>
      <c r="F235" s="48"/>
      <c r="N235" s="48"/>
      <c r="O235"/>
    </row>
    <row r="236" spans="2:15" x14ac:dyDescent="0.35">
      <c r="B236" s="48"/>
      <c r="E236" s="48"/>
      <c r="F236" s="48"/>
      <c r="N236" s="48"/>
      <c r="O236"/>
    </row>
    <row r="237" spans="2:15" x14ac:dyDescent="0.35">
      <c r="B237" s="48"/>
      <c r="E237" s="48"/>
      <c r="F237" s="48"/>
      <c r="N237" s="48"/>
      <c r="O237"/>
    </row>
    <row r="238" spans="2:15" x14ac:dyDescent="0.35">
      <c r="B238" s="48"/>
      <c r="E238" s="48"/>
      <c r="F238" s="48"/>
      <c r="N238" s="48"/>
      <c r="O238"/>
    </row>
    <row r="239" spans="2:15" x14ac:dyDescent="0.35">
      <c r="B239" s="48"/>
      <c r="E239" s="48"/>
      <c r="F239" s="48"/>
      <c r="N239" s="48"/>
      <c r="O239"/>
    </row>
    <row r="240" spans="2:15" x14ac:dyDescent="0.35">
      <c r="B240" s="48"/>
      <c r="E240" s="48"/>
      <c r="F240" s="48"/>
      <c r="N240" s="48"/>
      <c r="O240"/>
    </row>
    <row r="241" spans="2:15" x14ac:dyDescent="0.35">
      <c r="B241" s="48"/>
      <c r="E241" s="48"/>
      <c r="F241" s="48"/>
      <c r="N241" s="48"/>
      <c r="O241"/>
    </row>
    <row r="242" spans="2:15" x14ac:dyDescent="0.35">
      <c r="B242" s="48"/>
      <c r="E242" s="48"/>
      <c r="F242" s="48"/>
      <c r="N242" s="48"/>
      <c r="O242"/>
    </row>
    <row r="243" spans="2:15" x14ac:dyDescent="0.35">
      <c r="B243" s="48"/>
      <c r="E243" s="48"/>
      <c r="F243" s="48"/>
      <c r="N243" s="48"/>
      <c r="O243"/>
    </row>
    <row r="244" spans="2:15" x14ac:dyDescent="0.35">
      <c r="B244" s="48"/>
      <c r="E244" s="48"/>
      <c r="F244" s="48"/>
      <c r="N244" s="48"/>
      <c r="O244"/>
    </row>
    <row r="245" spans="2:15" x14ac:dyDescent="0.35">
      <c r="B245" s="48"/>
      <c r="E245" s="48"/>
      <c r="F245" s="48"/>
      <c r="N245" s="48"/>
      <c r="O245"/>
    </row>
    <row r="246" spans="2:15" x14ac:dyDescent="0.35">
      <c r="B246" s="48"/>
      <c r="E246" s="48"/>
      <c r="F246" s="48"/>
      <c r="N246" s="48"/>
      <c r="O246"/>
    </row>
    <row r="247" spans="2:15" x14ac:dyDescent="0.35">
      <c r="B247" s="48"/>
      <c r="E247" s="48"/>
      <c r="F247" s="48"/>
      <c r="N247" s="48"/>
      <c r="O247"/>
    </row>
    <row r="248" spans="2:15" x14ac:dyDescent="0.35">
      <c r="B248" s="48"/>
      <c r="E248" s="48"/>
      <c r="F248" s="48"/>
      <c r="N248" s="48"/>
      <c r="O248"/>
    </row>
    <row r="249" spans="2:15" x14ac:dyDescent="0.35">
      <c r="B249" s="48"/>
      <c r="E249" s="48"/>
      <c r="F249" s="48"/>
      <c r="N249" s="48"/>
      <c r="O249"/>
    </row>
    <row r="250" spans="2:15" x14ac:dyDescent="0.35">
      <c r="B250" s="48"/>
      <c r="E250" s="48"/>
      <c r="F250" s="48"/>
      <c r="N250" s="48"/>
      <c r="O250"/>
    </row>
    <row r="251" spans="2:15" x14ac:dyDescent="0.35">
      <c r="B251" s="48"/>
      <c r="E251" s="48"/>
      <c r="F251" s="48"/>
      <c r="N251" s="48"/>
      <c r="O251"/>
    </row>
    <row r="252" spans="2:15" x14ac:dyDescent="0.35">
      <c r="B252" s="48"/>
      <c r="E252" s="48"/>
      <c r="F252" s="48"/>
      <c r="N252" s="48"/>
      <c r="O252"/>
    </row>
    <row r="253" spans="2:15" x14ac:dyDescent="0.35">
      <c r="B253" s="48"/>
      <c r="E253" s="48"/>
      <c r="F253" s="48"/>
      <c r="N253" s="48"/>
      <c r="O253"/>
    </row>
    <row r="254" spans="2:15" x14ac:dyDescent="0.35">
      <c r="B254" s="48"/>
      <c r="E254" s="48"/>
      <c r="F254" s="48"/>
      <c r="N254" s="48"/>
      <c r="O254"/>
    </row>
    <row r="255" spans="2:15" x14ac:dyDescent="0.35">
      <c r="B255" s="48"/>
      <c r="E255" s="48"/>
      <c r="F255" s="48"/>
      <c r="N255" s="48"/>
      <c r="O255"/>
    </row>
    <row r="256" spans="2:15" x14ac:dyDescent="0.35">
      <c r="B256" s="48"/>
      <c r="E256" s="48"/>
      <c r="F256" s="48"/>
      <c r="N256" s="48"/>
      <c r="O256"/>
    </row>
    <row r="257" spans="2:15" x14ac:dyDescent="0.35">
      <c r="B257" s="48"/>
      <c r="E257" s="48"/>
      <c r="F257" s="48"/>
      <c r="N257" s="48"/>
      <c r="O257"/>
    </row>
    <row r="258" spans="2:15" x14ac:dyDescent="0.35">
      <c r="B258" s="48"/>
      <c r="E258" s="48"/>
      <c r="F258" s="48"/>
      <c r="N258" s="48"/>
      <c r="O258"/>
    </row>
    <row r="259" spans="2:15" x14ac:dyDescent="0.35">
      <c r="B259" s="48"/>
      <c r="E259" s="48"/>
      <c r="F259" s="48"/>
      <c r="N259" s="48"/>
      <c r="O259"/>
    </row>
    <row r="260" spans="2:15" x14ac:dyDescent="0.35">
      <c r="B260" s="48"/>
      <c r="E260" s="48"/>
      <c r="F260" s="48"/>
      <c r="N260" s="48"/>
      <c r="O260"/>
    </row>
    <row r="261" spans="2:15" x14ac:dyDescent="0.35">
      <c r="B261" s="48"/>
      <c r="E261" s="48"/>
      <c r="F261" s="48"/>
      <c r="N261" s="48"/>
      <c r="O261"/>
    </row>
    <row r="262" spans="2:15" x14ac:dyDescent="0.35">
      <c r="B262" s="48"/>
      <c r="E262" s="48"/>
      <c r="F262" s="48"/>
      <c r="N262" s="48"/>
      <c r="O262"/>
    </row>
    <row r="263" spans="2:15" x14ac:dyDescent="0.35">
      <c r="B263" s="48"/>
      <c r="E263" s="48"/>
      <c r="F263" s="48"/>
      <c r="N263" s="48"/>
      <c r="O263"/>
    </row>
    <row r="264" spans="2:15" x14ac:dyDescent="0.35">
      <c r="B264" s="48"/>
      <c r="E264" s="48"/>
      <c r="F264" s="48"/>
      <c r="N264" s="48"/>
      <c r="O264"/>
    </row>
    <row r="265" spans="2:15" x14ac:dyDescent="0.35">
      <c r="B265" s="48"/>
      <c r="E265" s="48"/>
      <c r="F265" s="48"/>
      <c r="N265" s="48"/>
      <c r="O265"/>
    </row>
    <row r="266" spans="2:15" x14ac:dyDescent="0.35">
      <c r="B266" s="48"/>
      <c r="E266" s="48"/>
      <c r="F266" s="48"/>
      <c r="N266" s="48"/>
      <c r="O266"/>
    </row>
    <row r="267" spans="2:15" x14ac:dyDescent="0.35">
      <c r="B267" s="48"/>
      <c r="E267" s="48"/>
      <c r="F267" s="48"/>
      <c r="N267" s="48"/>
      <c r="O267"/>
    </row>
    <row r="268" spans="2:15" x14ac:dyDescent="0.35">
      <c r="B268" s="48"/>
      <c r="E268" s="48"/>
      <c r="F268" s="48"/>
      <c r="N268" s="48"/>
      <c r="O268"/>
    </row>
    <row r="269" spans="2:15" x14ac:dyDescent="0.35">
      <c r="B269" s="48"/>
      <c r="E269" s="48"/>
      <c r="F269" s="48"/>
      <c r="N269" s="48"/>
      <c r="O269"/>
    </row>
    <row r="270" spans="2:15" x14ac:dyDescent="0.35">
      <c r="B270" s="48"/>
      <c r="E270" s="48"/>
      <c r="F270" s="48"/>
      <c r="N270" s="48"/>
      <c r="O270"/>
    </row>
    <row r="271" spans="2:15" x14ac:dyDescent="0.35">
      <c r="B271" s="48"/>
      <c r="E271" s="48"/>
      <c r="F271" s="48"/>
      <c r="N271" s="48"/>
      <c r="O271"/>
    </row>
    <row r="272" spans="2:15" x14ac:dyDescent="0.35">
      <c r="B272" s="48"/>
      <c r="E272" s="48"/>
      <c r="F272" s="48"/>
      <c r="N272" s="48"/>
      <c r="O272"/>
    </row>
    <row r="273" spans="2:15" x14ac:dyDescent="0.35">
      <c r="B273" s="48"/>
      <c r="E273" s="48"/>
      <c r="F273" s="48"/>
      <c r="N273" s="48"/>
      <c r="O273"/>
    </row>
    <row r="274" spans="2:15" x14ac:dyDescent="0.35">
      <c r="B274" s="48"/>
      <c r="E274" s="48"/>
      <c r="F274" s="48"/>
      <c r="N274" s="48"/>
      <c r="O274"/>
    </row>
    <row r="275" spans="2:15" x14ac:dyDescent="0.35">
      <c r="B275" s="48"/>
      <c r="E275" s="48"/>
      <c r="F275" s="48"/>
      <c r="N275" s="48"/>
      <c r="O275"/>
    </row>
    <row r="276" spans="2:15" x14ac:dyDescent="0.35">
      <c r="B276" s="48"/>
      <c r="E276" s="48"/>
      <c r="F276" s="48"/>
      <c r="N276" s="48"/>
      <c r="O276"/>
    </row>
    <row r="277" spans="2:15" x14ac:dyDescent="0.35">
      <c r="B277" s="48"/>
      <c r="E277" s="48"/>
      <c r="F277" s="48"/>
      <c r="N277" s="48"/>
      <c r="O277"/>
    </row>
    <row r="278" spans="2:15" x14ac:dyDescent="0.35">
      <c r="B278" s="48"/>
      <c r="E278" s="48"/>
      <c r="F278" s="48"/>
      <c r="N278" s="48"/>
      <c r="O278"/>
    </row>
    <row r="279" spans="2:15" x14ac:dyDescent="0.35">
      <c r="B279" s="48"/>
      <c r="E279" s="48"/>
      <c r="F279" s="48"/>
      <c r="N279" s="48"/>
      <c r="O279"/>
    </row>
    <row r="280" spans="2:15" x14ac:dyDescent="0.35">
      <c r="B280" s="48"/>
      <c r="E280" s="48"/>
      <c r="F280" s="48"/>
      <c r="N280" s="48"/>
      <c r="O280"/>
    </row>
    <row r="281" spans="2:15" x14ac:dyDescent="0.35">
      <c r="B281" s="48"/>
      <c r="E281" s="48"/>
      <c r="F281" s="48"/>
      <c r="N281" s="48"/>
      <c r="O281"/>
    </row>
    <row r="282" spans="2:15" x14ac:dyDescent="0.35">
      <c r="B282" s="48"/>
      <c r="E282" s="48"/>
      <c r="F282" s="48"/>
      <c r="N282" s="48"/>
      <c r="O282"/>
    </row>
    <row r="283" spans="2:15" x14ac:dyDescent="0.35">
      <c r="B283" s="48"/>
      <c r="E283" s="48"/>
      <c r="F283" s="48"/>
      <c r="N283" s="48"/>
      <c r="O283"/>
    </row>
    <row r="284" spans="2:15" x14ac:dyDescent="0.35">
      <c r="B284" s="48"/>
      <c r="E284" s="48"/>
      <c r="F284" s="48"/>
      <c r="N284" s="48"/>
      <c r="O284"/>
    </row>
    <row r="285" spans="2:15" x14ac:dyDescent="0.35">
      <c r="B285" s="48"/>
      <c r="E285" s="48"/>
      <c r="F285" s="48"/>
      <c r="N285" s="48"/>
      <c r="O285"/>
    </row>
    <row r="286" spans="2:15" x14ac:dyDescent="0.35">
      <c r="B286" s="48"/>
      <c r="E286" s="48"/>
      <c r="F286" s="48"/>
      <c r="N286" s="48"/>
      <c r="O286"/>
    </row>
    <row r="287" spans="2:15" x14ac:dyDescent="0.35">
      <c r="B287" s="48"/>
      <c r="E287" s="48"/>
      <c r="F287" s="48"/>
      <c r="N287" s="48"/>
      <c r="O287"/>
    </row>
    <row r="288" spans="2:15" x14ac:dyDescent="0.35">
      <c r="B288" s="48"/>
      <c r="E288" s="48"/>
      <c r="F288" s="48"/>
      <c r="N288" s="48"/>
      <c r="O288"/>
    </row>
    <row r="289" spans="2:15" x14ac:dyDescent="0.35">
      <c r="B289" s="48"/>
      <c r="E289" s="48"/>
      <c r="F289" s="48"/>
      <c r="N289" s="48"/>
      <c r="O289"/>
    </row>
    <row r="290" spans="2:15" x14ac:dyDescent="0.35">
      <c r="B290" s="48"/>
      <c r="E290" s="48"/>
      <c r="F290" s="48"/>
      <c r="N290" s="48"/>
      <c r="O290"/>
    </row>
    <row r="291" spans="2:15" x14ac:dyDescent="0.35">
      <c r="B291" s="48"/>
      <c r="E291" s="48"/>
      <c r="F291" s="48"/>
      <c r="N291" s="48"/>
      <c r="O291"/>
    </row>
    <row r="292" spans="2:15" x14ac:dyDescent="0.35">
      <c r="B292" s="48"/>
      <c r="E292" s="48"/>
      <c r="F292" s="48"/>
      <c r="N292" s="48"/>
      <c r="O292"/>
    </row>
    <row r="293" spans="2:15" x14ac:dyDescent="0.35">
      <c r="B293" s="48"/>
      <c r="E293" s="48"/>
      <c r="F293" s="48"/>
      <c r="N293" s="48"/>
      <c r="O293"/>
    </row>
    <row r="294" spans="2:15" x14ac:dyDescent="0.35">
      <c r="B294" s="48"/>
      <c r="E294" s="48"/>
      <c r="F294" s="48"/>
      <c r="N294" s="48"/>
      <c r="O294"/>
    </row>
    <row r="295" spans="2:15" x14ac:dyDescent="0.35">
      <c r="B295" s="48"/>
      <c r="E295" s="48"/>
      <c r="F295" s="48"/>
      <c r="N295" s="48"/>
      <c r="O295"/>
    </row>
    <row r="296" spans="2:15" x14ac:dyDescent="0.35">
      <c r="B296" s="48"/>
      <c r="E296" s="48"/>
      <c r="F296" s="48"/>
      <c r="N296" s="48"/>
      <c r="O296"/>
    </row>
    <row r="297" spans="2:15" x14ac:dyDescent="0.35">
      <c r="B297" s="48"/>
      <c r="E297" s="48"/>
      <c r="F297" s="48"/>
      <c r="N297" s="48"/>
      <c r="O297"/>
    </row>
    <row r="298" spans="2:15" x14ac:dyDescent="0.35">
      <c r="E298" s="48"/>
      <c r="F298" s="48"/>
      <c r="N298" s="48"/>
      <c r="O298"/>
    </row>
    <row r="299" spans="2:15" x14ac:dyDescent="0.35">
      <c r="E299" s="48"/>
      <c r="F299" s="48"/>
      <c r="N299" s="48"/>
      <c r="O299"/>
    </row>
    <row r="300" spans="2:15" x14ac:dyDescent="0.35">
      <c r="E300" s="48"/>
      <c r="F300" s="48"/>
      <c r="N300" s="48"/>
      <c r="O300"/>
    </row>
    <row r="301" spans="2:15" x14ac:dyDescent="0.35">
      <c r="E301" s="48"/>
      <c r="F301" s="48"/>
      <c r="N301" s="48"/>
      <c r="O301"/>
    </row>
    <row r="302" spans="2:15" x14ac:dyDescent="0.35">
      <c r="E302" s="48"/>
      <c r="F302" s="48"/>
      <c r="N302" s="48"/>
      <c r="O302"/>
    </row>
    <row r="303" spans="2:15" x14ac:dyDescent="0.35">
      <c r="E303" s="48"/>
      <c r="F303" s="48"/>
      <c r="N303" s="48"/>
      <c r="O303"/>
    </row>
    <row r="304" spans="2:15" x14ac:dyDescent="0.35">
      <c r="E304" s="48"/>
      <c r="F304" s="48"/>
      <c r="N304" s="48"/>
      <c r="O304"/>
    </row>
    <row r="305" spans="5:15" x14ac:dyDescent="0.35">
      <c r="E305" s="48"/>
      <c r="F305" s="48"/>
      <c r="N305" s="48"/>
      <c r="O305"/>
    </row>
    <row r="306" spans="5:15" x14ac:dyDescent="0.35">
      <c r="E306" s="48"/>
      <c r="F306" s="48"/>
      <c r="N306" s="48"/>
      <c r="O306"/>
    </row>
    <row r="307" spans="5:15" x14ac:dyDescent="0.35">
      <c r="E307" s="48"/>
      <c r="F307" s="48"/>
      <c r="N307" s="48"/>
      <c r="O307"/>
    </row>
    <row r="308" spans="5:15" x14ac:dyDescent="0.35">
      <c r="E308" s="48"/>
      <c r="F308" s="48"/>
      <c r="N308" s="48"/>
      <c r="O308"/>
    </row>
    <row r="309" spans="5:15" x14ac:dyDescent="0.35">
      <c r="E309" s="48"/>
      <c r="F309" s="48"/>
      <c r="N309" s="48"/>
      <c r="O309"/>
    </row>
    <row r="310" spans="5:15" x14ac:dyDescent="0.35">
      <c r="E310" s="48"/>
      <c r="F310" s="48"/>
      <c r="N310" s="48"/>
      <c r="O310"/>
    </row>
    <row r="311" spans="5:15" x14ac:dyDescent="0.35">
      <c r="E311" s="48"/>
      <c r="F311" s="48"/>
      <c r="N311" s="48"/>
      <c r="O311"/>
    </row>
    <row r="312" spans="5:15" x14ac:dyDescent="0.35">
      <c r="E312" s="48"/>
      <c r="F312" s="48"/>
      <c r="N312" s="48"/>
      <c r="O312"/>
    </row>
    <row r="313" spans="5:15" x14ac:dyDescent="0.35">
      <c r="E313" s="48"/>
      <c r="F313" s="48"/>
      <c r="N313" s="48"/>
      <c r="O313"/>
    </row>
    <row r="314" spans="5:15" x14ac:dyDescent="0.35">
      <c r="E314" s="48"/>
      <c r="F314" s="48"/>
      <c r="N314" s="48"/>
      <c r="O314"/>
    </row>
    <row r="315" spans="5:15" x14ac:dyDescent="0.35">
      <c r="E315" s="48"/>
      <c r="F315" s="48"/>
      <c r="N315" s="48"/>
      <c r="O315"/>
    </row>
    <row r="316" spans="5:15" x14ac:dyDescent="0.35">
      <c r="E316" s="48"/>
      <c r="F316" s="48"/>
      <c r="N316" s="48"/>
      <c r="O316"/>
    </row>
    <row r="317" spans="5:15" x14ac:dyDescent="0.35">
      <c r="E317" s="48"/>
      <c r="F317" s="48"/>
      <c r="N317" s="48"/>
      <c r="O317"/>
    </row>
    <row r="318" spans="5:15" x14ac:dyDescent="0.35">
      <c r="E318" s="48"/>
      <c r="F318" s="48"/>
      <c r="N318" s="48"/>
      <c r="O318"/>
    </row>
    <row r="319" spans="5:15" x14ac:dyDescent="0.35">
      <c r="E319" s="48"/>
      <c r="F319" s="48"/>
      <c r="N319" s="48"/>
      <c r="O319"/>
    </row>
    <row r="320" spans="5:15" x14ac:dyDescent="0.35">
      <c r="E320" s="48"/>
      <c r="F320" s="48"/>
      <c r="N320" s="48"/>
      <c r="O320"/>
    </row>
    <row r="321" spans="5:15" x14ac:dyDescent="0.35">
      <c r="E321" s="48"/>
      <c r="F321" s="48"/>
      <c r="N321" s="48"/>
      <c r="O321"/>
    </row>
    <row r="322" spans="5:15" x14ac:dyDescent="0.35">
      <c r="E322" s="48"/>
      <c r="F322" s="48"/>
      <c r="N322" s="48"/>
      <c r="O322"/>
    </row>
    <row r="323" spans="5:15" x14ac:dyDescent="0.35">
      <c r="E323" s="48"/>
      <c r="F323" s="48"/>
      <c r="N323" s="48"/>
      <c r="O323"/>
    </row>
    <row r="324" spans="5:15" x14ac:dyDescent="0.35">
      <c r="E324" s="48"/>
      <c r="F324" s="48"/>
      <c r="N324" s="48"/>
      <c r="O324"/>
    </row>
    <row r="325" spans="5:15" x14ac:dyDescent="0.35">
      <c r="E325" s="48"/>
      <c r="F325" s="48"/>
      <c r="N325" s="48"/>
      <c r="O325"/>
    </row>
    <row r="326" spans="5:15" x14ac:dyDescent="0.35">
      <c r="E326" s="48"/>
      <c r="F326" s="48"/>
      <c r="N326" s="48"/>
      <c r="O326"/>
    </row>
    <row r="327" spans="5:15" x14ac:dyDescent="0.35">
      <c r="E327" s="48"/>
      <c r="F327" s="48"/>
      <c r="N327" s="48"/>
      <c r="O327"/>
    </row>
    <row r="328" spans="5:15" x14ac:dyDescent="0.35">
      <c r="E328" s="48"/>
      <c r="F328" s="48"/>
      <c r="N328" s="48"/>
      <c r="O328"/>
    </row>
    <row r="329" spans="5:15" x14ac:dyDescent="0.35">
      <c r="E329" s="48"/>
      <c r="F329" s="48"/>
      <c r="N329" s="48"/>
      <c r="O329"/>
    </row>
    <row r="330" spans="5:15" x14ac:dyDescent="0.35">
      <c r="E330" s="48"/>
      <c r="F330" s="48"/>
      <c r="N330" s="48"/>
      <c r="O330"/>
    </row>
    <row r="331" spans="5:15" x14ac:dyDescent="0.35">
      <c r="E331" s="48"/>
      <c r="F331" s="48"/>
      <c r="N331" s="48"/>
      <c r="O331"/>
    </row>
    <row r="332" spans="5:15" x14ac:dyDescent="0.35">
      <c r="E332" s="48"/>
      <c r="F332" s="48"/>
      <c r="N332" s="48"/>
      <c r="O332"/>
    </row>
    <row r="333" spans="5:15" x14ac:dyDescent="0.35">
      <c r="E333" s="48"/>
      <c r="F333" s="48"/>
      <c r="N333" s="48"/>
      <c r="O333"/>
    </row>
    <row r="334" spans="5:15" x14ac:dyDescent="0.35">
      <c r="E334" s="48"/>
      <c r="F334" s="48"/>
      <c r="N334" s="48"/>
      <c r="O334"/>
    </row>
    <row r="335" spans="5:15" x14ac:dyDescent="0.35">
      <c r="E335" s="48"/>
      <c r="F335" s="48"/>
      <c r="N335" s="48"/>
      <c r="O335"/>
    </row>
    <row r="336" spans="5:15" x14ac:dyDescent="0.35">
      <c r="E336" s="48"/>
      <c r="F336" s="48"/>
      <c r="N336" s="48"/>
      <c r="O336"/>
    </row>
    <row r="337" spans="5:15" x14ac:dyDescent="0.35">
      <c r="E337" s="48"/>
      <c r="F337" s="48"/>
      <c r="N337" s="48"/>
      <c r="O337"/>
    </row>
    <row r="338" spans="5:15" x14ac:dyDescent="0.35">
      <c r="E338" s="48"/>
      <c r="F338" s="48"/>
      <c r="N338" s="48"/>
      <c r="O338"/>
    </row>
    <row r="339" spans="5:15" x14ac:dyDescent="0.35">
      <c r="E339" s="48"/>
      <c r="F339" s="48"/>
      <c r="N339" s="48"/>
      <c r="O339"/>
    </row>
    <row r="340" spans="5:15" x14ac:dyDescent="0.35">
      <c r="E340" s="48"/>
      <c r="F340" s="48"/>
      <c r="N340" s="48"/>
      <c r="O340"/>
    </row>
    <row r="341" spans="5:15" x14ac:dyDescent="0.35">
      <c r="E341" s="48"/>
      <c r="F341" s="48"/>
      <c r="N341" s="48"/>
      <c r="O341"/>
    </row>
    <row r="342" spans="5:15" x14ac:dyDescent="0.35">
      <c r="E342" s="48"/>
      <c r="F342" s="48"/>
      <c r="N342" s="48"/>
      <c r="O342"/>
    </row>
    <row r="343" spans="5:15" x14ac:dyDescent="0.35">
      <c r="E343" s="48"/>
      <c r="F343" s="48"/>
      <c r="N343" s="48"/>
      <c r="O343"/>
    </row>
    <row r="344" spans="5:15" x14ac:dyDescent="0.35">
      <c r="E344" s="48"/>
      <c r="F344" s="48"/>
      <c r="N344" s="48"/>
      <c r="O344"/>
    </row>
    <row r="345" spans="5:15" x14ac:dyDescent="0.35">
      <c r="E345" s="48"/>
      <c r="F345" s="48"/>
      <c r="N345" s="48"/>
      <c r="O345"/>
    </row>
    <row r="346" spans="5:15" x14ac:dyDescent="0.35">
      <c r="E346" s="48"/>
      <c r="F346" s="48"/>
      <c r="N346" s="48"/>
      <c r="O346"/>
    </row>
    <row r="347" spans="5:15" x14ac:dyDescent="0.35">
      <c r="E347" s="48"/>
      <c r="F347" s="48"/>
      <c r="N347" s="48"/>
      <c r="O347"/>
    </row>
    <row r="348" spans="5:15" x14ac:dyDescent="0.35">
      <c r="E348" s="48"/>
      <c r="F348" s="48"/>
      <c r="N348" s="48"/>
      <c r="O348"/>
    </row>
    <row r="349" spans="5:15" x14ac:dyDescent="0.35">
      <c r="E349" s="48"/>
      <c r="F349" s="48"/>
      <c r="N349" s="48"/>
      <c r="O349"/>
    </row>
    <row r="350" spans="5:15" x14ac:dyDescent="0.35">
      <c r="E350" s="48"/>
      <c r="F350" s="48"/>
      <c r="N350" s="48"/>
      <c r="O350"/>
    </row>
    <row r="351" spans="5:15" x14ac:dyDescent="0.35">
      <c r="E351" s="48"/>
      <c r="F351" s="48"/>
      <c r="N351" s="48"/>
      <c r="O351"/>
    </row>
    <row r="352" spans="5:15" x14ac:dyDescent="0.35">
      <c r="E352" s="48"/>
      <c r="F352" s="48"/>
      <c r="N352" s="48"/>
      <c r="O352"/>
    </row>
    <row r="353" spans="5:15" x14ac:dyDescent="0.35">
      <c r="E353" s="48"/>
      <c r="F353" s="48"/>
      <c r="O353"/>
    </row>
    <row r="354" spans="5:15" x14ac:dyDescent="0.35">
      <c r="E354" s="48"/>
      <c r="F354" s="48"/>
      <c r="O354"/>
    </row>
    <row r="355" spans="5:15" x14ac:dyDescent="0.35">
      <c r="E355" s="48"/>
      <c r="F355" s="48"/>
      <c r="O355"/>
    </row>
    <row r="356" spans="5:15" x14ac:dyDescent="0.35">
      <c r="E356" s="48"/>
      <c r="F356" s="48"/>
      <c r="O356"/>
    </row>
    <row r="357" spans="5:15" x14ac:dyDescent="0.35">
      <c r="E357" s="48"/>
      <c r="F357" s="48"/>
      <c r="O357"/>
    </row>
    <row r="358" spans="5:15" x14ac:dyDescent="0.35">
      <c r="E358" s="48"/>
      <c r="F358" s="48"/>
      <c r="O358"/>
    </row>
    <row r="359" spans="5:15" x14ac:dyDescent="0.35">
      <c r="E359" s="48"/>
      <c r="F359" s="48"/>
      <c r="O359"/>
    </row>
    <row r="360" spans="5:15" x14ac:dyDescent="0.35">
      <c r="E360" s="48"/>
      <c r="F360" s="48"/>
      <c r="O360"/>
    </row>
    <row r="361" spans="5:15" x14ac:dyDescent="0.35">
      <c r="E361" s="48"/>
      <c r="F361" s="48"/>
      <c r="O361"/>
    </row>
    <row r="362" spans="5:15" x14ac:dyDescent="0.35">
      <c r="E362" s="48"/>
      <c r="F362" s="48"/>
      <c r="O362"/>
    </row>
    <row r="363" spans="5:15" x14ac:dyDescent="0.35">
      <c r="E363" s="48"/>
      <c r="F363" s="48"/>
      <c r="O363"/>
    </row>
    <row r="364" spans="5:15" x14ac:dyDescent="0.35">
      <c r="E364" s="48"/>
      <c r="F364" s="48"/>
      <c r="O364"/>
    </row>
    <row r="365" spans="5:15" x14ac:dyDescent="0.35">
      <c r="E365" s="48"/>
      <c r="F365" s="48"/>
      <c r="O365"/>
    </row>
    <row r="366" spans="5:15" x14ac:dyDescent="0.35">
      <c r="E366" s="48"/>
      <c r="F366" s="48"/>
      <c r="O366"/>
    </row>
    <row r="367" spans="5:15" x14ac:dyDescent="0.35">
      <c r="E367" s="48"/>
      <c r="F367" s="48"/>
      <c r="O367"/>
    </row>
    <row r="368" spans="5:15" x14ac:dyDescent="0.35">
      <c r="E368" s="48"/>
      <c r="F368" s="48"/>
      <c r="O368"/>
    </row>
    <row r="369" spans="5:15" x14ac:dyDescent="0.35">
      <c r="E369" s="48"/>
      <c r="F369" s="48"/>
      <c r="O369"/>
    </row>
    <row r="370" spans="5:15" x14ac:dyDescent="0.35">
      <c r="E370" s="48"/>
      <c r="F370" s="48"/>
      <c r="O370"/>
    </row>
    <row r="371" spans="5:15" x14ac:dyDescent="0.35">
      <c r="E371" s="48"/>
      <c r="F371" s="48"/>
      <c r="O371"/>
    </row>
    <row r="372" spans="5:15" x14ac:dyDescent="0.35">
      <c r="E372" s="48"/>
      <c r="F372" s="48"/>
      <c r="O372"/>
    </row>
    <row r="373" spans="5:15" x14ac:dyDescent="0.35">
      <c r="E373" s="48"/>
      <c r="F373" s="48"/>
      <c r="O373"/>
    </row>
    <row r="374" spans="5:15" x14ac:dyDescent="0.35">
      <c r="E374" s="48"/>
      <c r="F374" s="48"/>
      <c r="O374"/>
    </row>
    <row r="375" spans="5:15" x14ac:dyDescent="0.35">
      <c r="E375" s="48"/>
      <c r="F375" s="48"/>
      <c r="O375"/>
    </row>
    <row r="376" spans="5:15" x14ac:dyDescent="0.35">
      <c r="E376" s="48"/>
      <c r="F376" s="48"/>
      <c r="O376"/>
    </row>
    <row r="377" spans="5:15" x14ac:dyDescent="0.35">
      <c r="E377" s="48"/>
      <c r="F377" s="48"/>
      <c r="O377"/>
    </row>
    <row r="378" spans="5:15" x14ac:dyDescent="0.35">
      <c r="E378" s="48"/>
      <c r="F378" s="48"/>
      <c r="O378"/>
    </row>
    <row r="379" spans="5:15" x14ac:dyDescent="0.35">
      <c r="E379" s="48"/>
      <c r="F379" s="48"/>
      <c r="O379"/>
    </row>
    <row r="380" spans="5:15" x14ac:dyDescent="0.35">
      <c r="E380" s="48"/>
      <c r="F380" s="48"/>
      <c r="O380"/>
    </row>
    <row r="381" spans="5:15" x14ac:dyDescent="0.35">
      <c r="E381" s="48"/>
      <c r="F381" s="48"/>
      <c r="O381"/>
    </row>
    <row r="382" spans="5:15" x14ac:dyDescent="0.35">
      <c r="E382" s="48"/>
      <c r="F382" s="48"/>
      <c r="O382"/>
    </row>
    <row r="383" spans="5:15" x14ac:dyDescent="0.35">
      <c r="E383" s="48"/>
      <c r="F383" s="48"/>
      <c r="O383"/>
    </row>
    <row r="384" spans="5:15" x14ac:dyDescent="0.35">
      <c r="E384" s="48"/>
      <c r="F384" s="48"/>
      <c r="O384"/>
    </row>
    <row r="385" spans="5:15" x14ac:dyDescent="0.35">
      <c r="E385" s="48"/>
      <c r="F385" s="48"/>
      <c r="O385"/>
    </row>
    <row r="386" spans="5:15" x14ac:dyDescent="0.35">
      <c r="E386" s="48"/>
      <c r="F386" s="48"/>
      <c r="O386"/>
    </row>
    <row r="387" spans="5:15" x14ac:dyDescent="0.35">
      <c r="E387" s="48"/>
      <c r="F387" s="48"/>
      <c r="O387"/>
    </row>
    <row r="388" spans="5:15" x14ac:dyDescent="0.35">
      <c r="O388"/>
    </row>
    <row r="389" spans="5:15" x14ac:dyDescent="0.35">
      <c r="O389"/>
    </row>
    <row r="390" spans="5:15" x14ac:dyDescent="0.35">
      <c r="O390"/>
    </row>
    <row r="391" spans="5:15" x14ac:dyDescent="0.35">
      <c r="O391"/>
    </row>
    <row r="392" spans="5:15" x14ac:dyDescent="0.35">
      <c r="O392"/>
    </row>
    <row r="393" spans="5:15" x14ac:dyDescent="0.35">
      <c r="O393"/>
    </row>
    <row r="394" spans="5:15" x14ac:dyDescent="0.35">
      <c r="O394"/>
    </row>
    <row r="395" spans="5:15" x14ac:dyDescent="0.35">
      <c r="O395"/>
    </row>
    <row r="396" spans="5:15" x14ac:dyDescent="0.35">
      <c r="O396"/>
    </row>
    <row r="397" spans="5:15" x14ac:dyDescent="0.35">
      <c r="O397"/>
    </row>
    <row r="398" spans="5:15" x14ac:dyDescent="0.35">
      <c r="O398"/>
    </row>
    <row r="399" spans="5:15" x14ac:dyDescent="0.35">
      <c r="O399"/>
    </row>
    <row r="400" spans="5:15" x14ac:dyDescent="0.35">
      <c r="O400"/>
    </row>
    <row r="401" spans="15:15" x14ac:dyDescent="0.35">
      <c r="O401"/>
    </row>
    <row r="402" spans="15:15" x14ac:dyDescent="0.35">
      <c r="O402"/>
    </row>
    <row r="403" spans="15:15" x14ac:dyDescent="0.35">
      <c r="O403"/>
    </row>
    <row r="404" spans="15:15" x14ac:dyDescent="0.35">
      <c r="O404"/>
    </row>
    <row r="405" spans="15:15" x14ac:dyDescent="0.35">
      <c r="O405"/>
    </row>
    <row r="406" spans="15:15" x14ac:dyDescent="0.35">
      <c r="O406"/>
    </row>
    <row r="407" spans="15:15" x14ac:dyDescent="0.35">
      <c r="O407"/>
    </row>
    <row r="408" spans="15:15" x14ac:dyDescent="0.35">
      <c r="O408"/>
    </row>
    <row r="409" spans="15:15" x14ac:dyDescent="0.35">
      <c r="O409"/>
    </row>
    <row r="410" spans="15:15" x14ac:dyDescent="0.35">
      <c r="O410"/>
    </row>
    <row r="411" spans="15:15" x14ac:dyDescent="0.35">
      <c r="O411"/>
    </row>
    <row r="412" spans="15:15" x14ac:dyDescent="0.35">
      <c r="O412"/>
    </row>
    <row r="413" spans="15:15" x14ac:dyDescent="0.35">
      <c r="O413"/>
    </row>
    <row r="414" spans="15:15" x14ac:dyDescent="0.35">
      <c r="O414"/>
    </row>
    <row r="415" spans="15:15" x14ac:dyDescent="0.35">
      <c r="O415"/>
    </row>
    <row r="416" spans="15:15" x14ac:dyDescent="0.35">
      <c r="O416"/>
    </row>
    <row r="417" spans="15:15" x14ac:dyDescent="0.35">
      <c r="O417"/>
    </row>
    <row r="418" spans="15:15" x14ac:dyDescent="0.35">
      <c r="O418"/>
    </row>
    <row r="419" spans="15:15" x14ac:dyDescent="0.35">
      <c r="O419"/>
    </row>
    <row r="420" spans="15:15" x14ac:dyDescent="0.35">
      <c r="O420"/>
    </row>
    <row r="421" spans="15:15" x14ac:dyDescent="0.35">
      <c r="O421"/>
    </row>
    <row r="422" spans="15:15" x14ac:dyDescent="0.35">
      <c r="O422"/>
    </row>
    <row r="423" spans="15:15" x14ac:dyDescent="0.35">
      <c r="O423"/>
    </row>
    <row r="424" spans="15:15" x14ac:dyDescent="0.35">
      <c r="O424"/>
    </row>
    <row r="425" spans="15:15" x14ac:dyDescent="0.35">
      <c r="O425"/>
    </row>
    <row r="426" spans="15:15" x14ac:dyDescent="0.35">
      <c r="O426"/>
    </row>
    <row r="427" spans="15:15" x14ac:dyDescent="0.35">
      <c r="O427"/>
    </row>
    <row r="428" spans="15:15" x14ac:dyDescent="0.35">
      <c r="O428"/>
    </row>
    <row r="429" spans="15:15" x14ac:dyDescent="0.35">
      <c r="O429"/>
    </row>
    <row r="430" spans="15:15" x14ac:dyDescent="0.35">
      <c r="O430"/>
    </row>
    <row r="431" spans="15:15" x14ac:dyDescent="0.35">
      <c r="O431"/>
    </row>
    <row r="432" spans="15:15" x14ac:dyDescent="0.35">
      <c r="O432"/>
    </row>
    <row r="433" spans="15:15" x14ac:dyDescent="0.35">
      <c r="O433"/>
    </row>
    <row r="434" spans="15:15" x14ac:dyDescent="0.35">
      <c r="O434"/>
    </row>
    <row r="435" spans="15:15" x14ac:dyDescent="0.35">
      <c r="O435"/>
    </row>
    <row r="436" spans="15:15" x14ac:dyDescent="0.35">
      <c r="O436"/>
    </row>
    <row r="437" spans="15:15" x14ac:dyDescent="0.35">
      <c r="O437"/>
    </row>
    <row r="438" spans="15:15" x14ac:dyDescent="0.35">
      <c r="O438"/>
    </row>
    <row r="439" spans="15:15" x14ac:dyDescent="0.35">
      <c r="O439"/>
    </row>
    <row r="440" spans="15:15" x14ac:dyDescent="0.35">
      <c r="O440"/>
    </row>
    <row r="441" spans="15:15" x14ac:dyDescent="0.35">
      <c r="O441"/>
    </row>
    <row r="442" spans="15:15" x14ac:dyDescent="0.35">
      <c r="O442"/>
    </row>
    <row r="443" spans="15:15" x14ac:dyDescent="0.35">
      <c r="O443"/>
    </row>
    <row r="444" spans="15:15" x14ac:dyDescent="0.35">
      <c r="O444"/>
    </row>
    <row r="445" spans="15:15" x14ac:dyDescent="0.35">
      <c r="O445"/>
    </row>
    <row r="446" spans="15:15" x14ac:dyDescent="0.35">
      <c r="O446"/>
    </row>
    <row r="447" spans="15:15" x14ac:dyDescent="0.35">
      <c r="O447"/>
    </row>
    <row r="448" spans="15:15" x14ac:dyDescent="0.35">
      <c r="O448"/>
    </row>
    <row r="449" spans="15:15" x14ac:dyDescent="0.35">
      <c r="O449"/>
    </row>
    <row r="450" spans="15:15" x14ac:dyDescent="0.35">
      <c r="O450"/>
    </row>
    <row r="451" spans="15:15" x14ac:dyDescent="0.35">
      <c r="O451"/>
    </row>
    <row r="452" spans="15:15" x14ac:dyDescent="0.35">
      <c r="O452"/>
    </row>
    <row r="453" spans="15:15" x14ac:dyDescent="0.35">
      <c r="O453"/>
    </row>
    <row r="454" spans="15:15" x14ac:dyDescent="0.35">
      <c r="O454"/>
    </row>
    <row r="455" spans="15:15" x14ac:dyDescent="0.35">
      <c r="O455"/>
    </row>
    <row r="456" spans="15:15" x14ac:dyDescent="0.35">
      <c r="O456"/>
    </row>
    <row r="457" spans="15:15" x14ac:dyDescent="0.35">
      <c r="O457"/>
    </row>
    <row r="458" spans="15:15" x14ac:dyDescent="0.35">
      <c r="O458"/>
    </row>
    <row r="459" spans="15:15" x14ac:dyDescent="0.35">
      <c r="O459"/>
    </row>
    <row r="460" spans="15:15" x14ac:dyDescent="0.35">
      <c r="O460"/>
    </row>
    <row r="461" spans="15:15" x14ac:dyDescent="0.35">
      <c r="O461"/>
    </row>
    <row r="462" spans="15:15" x14ac:dyDescent="0.35">
      <c r="O462"/>
    </row>
    <row r="463" spans="15:15" x14ac:dyDescent="0.35">
      <c r="O463"/>
    </row>
    <row r="464" spans="15:15" x14ac:dyDescent="0.35">
      <c r="O464"/>
    </row>
    <row r="465" spans="15:15" x14ac:dyDescent="0.35">
      <c r="O465"/>
    </row>
    <row r="466" spans="15:15" x14ac:dyDescent="0.35">
      <c r="O466"/>
    </row>
    <row r="467" spans="15:15" x14ac:dyDescent="0.35">
      <c r="O467"/>
    </row>
    <row r="468" spans="15:15" x14ac:dyDescent="0.35">
      <c r="O468"/>
    </row>
    <row r="469" spans="15:15" x14ac:dyDescent="0.35">
      <c r="O469"/>
    </row>
    <row r="470" spans="15:15" x14ac:dyDescent="0.35">
      <c r="O470"/>
    </row>
    <row r="471" spans="15:15" x14ac:dyDescent="0.35">
      <c r="O471"/>
    </row>
    <row r="472" spans="15:15" x14ac:dyDescent="0.35">
      <c r="O472"/>
    </row>
    <row r="473" spans="15:15" x14ac:dyDescent="0.35">
      <c r="O473"/>
    </row>
    <row r="474" spans="15:15" x14ac:dyDescent="0.35">
      <c r="O474"/>
    </row>
    <row r="475" spans="15:15" x14ac:dyDescent="0.35">
      <c r="O475"/>
    </row>
    <row r="476" spans="15:15" x14ac:dyDescent="0.35">
      <c r="O476"/>
    </row>
    <row r="477" spans="15:15" x14ac:dyDescent="0.35">
      <c r="O477"/>
    </row>
    <row r="478" spans="15:15" x14ac:dyDescent="0.35">
      <c r="O478"/>
    </row>
    <row r="479" spans="15:15" x14ac:dyDescent="0.35">
      <c r="O479"/>
    </row>
    <row r="480" spans="15:15" x14ac:dyDescent="0.35">
      <c r="O480"/>
    </row>
    <row r="481" spans="15:15" x14ac:dyDescent="0.35">
      <c r="O481"/>
    </row>
    <row r="482" spans="15:15" x14ac:dyDescent="0.35">
      <c r="O482"/>
    </row>
    <row r="483" spans="15:15" x14ac:dyDescent="0.35">
      <c r="O483"/>
    </row>
    <row r="484" spans="15:15" x14ac:dyDescent="0.35">
      <c r="O484"/>
    </row>
    <row r="485" spans="15:15" x14ac:dyDescent="0.35">
      <c r="O485"/>
    </row>
    <row r="486" spans="15:15" x14ac:dyDescent="0.35">
      <c r="O486"/>
    </row>
    <row r="487" spans="15:15" x14ac:dyDescent="0.35">
      <c r="O487"/>
    </row>
    <row r="488" spans="15:15" x14ac:dyDescent="0.35">
      <c r="O488"/>
    </row>
    <row r="489" spans="15:15" x14ac:dyDescent="0.35">
      <c r="O489"/>
    </row>
    <row r="490" spans="15:15" x14ac:dyDescent="0.35">
      <c r="O490"/>
    </row>
    <row r="491" spans="15:15" x14ac:dyDescent="0.35">
      <c r="O491"/>
    </row>
    <row r="492" spans="15:15" x14ac:dyDescent="0.35">
      <c r="O492"/>
    </row>
    <row r="493" spans="15:15" x14ac:dyDescent="0.35">
      <c r="O493"/>
    </row>
    <row r="494" spans="15:15" x14ac:dyDescent="0.35">
      <c r="O494"/>
    </row>
    <row r="495" spans="15:15" x14ac:dyDescent="0.35">
      <c r="O495"/>
    </row>
    <row r="496" spans="15:15" x14ac:dyDescent="0.35">
      <c r="O496"/>
    </row>
    <row r="497" spans="15:15" x14ac:dyDescent="0.35">
      <c r="O497"/>
    </row>
    <row r="498" spans="15:15" x14ac:dyDescent="0.35">
      <c r="O498"/>
    </row>
    <row r="499" spans="15:15" x14ac:dyDescent="0.35">
      <c r="O499"/>
    </row>
    <row r="500" spans="15:15" x14ac:dyDescent="0.35">
      <c r="O500"/>
    </row>
    <row r="501" spans="15:15" x14ac:dyDescent="0.35">
      <c r="O501"/>
    </row>
    <row r="502" spans="15:15" x14ac:dyDescent="0.35">
      <c r="O502"/>
    </row>
    <row r="503" spans="15:15" x14ac:dyDescent="0.35">
      <c r="O503"/>
    </row>
    <row r="504" spans="15:15" x14ac:dyDescent="0.35">
      <c r="O504"/>
    </row>
    <row r="505" spans="15:15" x14ac:dyDescent="0.35">
      <c r="O505"/>
    </row>
    <row r="506" spans="15:15" x14ac:dyDescent="0.35">
      <c r="O506"/>
    </row>
    <row r="507" spans="15:15" x14ac:dyDescent="0.35">
      <c r="O507"/>
    </row>
    <row r="508" spans="15:15" x14ac:dyDescent="0.35">
      <c r="O508"/>
    </row>
    <row r="509" spans="15:15" x14ac:dyDescent="0.35">
      <c r="O509"/>
    </row>
    <row r="510" spans="15:15" x14ac:dyDescent="0.35">
      <c r="O510"/>
    </row>
    <row r="511" spans="15:15" x14ac:dyDescent="0.35">
      <c r="O511"/>
    </row>
    <row r="512" spans="15:15" x14ac:dyDescent="0.35">
      <c r="O512"/>
    </row>
    <row r="513" spans="15:15" x14ac:dyDescent="0.35">
      <c r="O513"/>
    </row>
    <row r="514" spans="15:15" x14ac:dyDescent="0.35">
      <c r="O514"/>
    </row>
    <row r="515" spans="15:15" x14ac:dyDescent="0.35">
      <c r="O515"/>
    </row>
    <row r="516" spans="15:15" x14ac:dyDescent="0.35">
      <c r="O516"/>
    </row>
    <row r="517" spans="15:15" x14ac:dyDescent="0.35">
      <c r="O517"/>
    </row>
    <row r="518" spans="15:15" x14ac:dyDescent="0.35">
      <c r="O518"/>
    </row>
    <row r="519" spans="15:15" x14ac:dyDescent="0.35">
      <c r="O519"/>
    </row>
    <row r="520" spans="15:15" x14ac:dyDescent="0.35">
      <c r="O520"/>
    </row>
    <row r="521" spans="15:15" x14ac:dyDescent="0.35">
      <c r="O521"/>
    </row>
    <row r="522" spans="15:15" x14ac:dyDescent="0.35">
      <c r="O522"/>
    </row>
    <row r="523" spans="15:15" x14ac:dyDescent="0.35">
      <c r="O523"/>
    </row>
    <row r="524" spans="15:15" x14ac:dyDescent="0.35">
      <c r="O524"/>
    </row>
    <row r="525" spans="15:15" x14ac:dyDescent="0.35">
      <c r="O525"/>
    </row>
    <row r="526" spans="15:15" x14ac:dyDescent="0.35">
      <c r="O526"/>
    </row>
    <row r="527" spans="15:15" x14ac:dyDescent="0.35">
      <c r="O527"/>
    </row>
    <row r="528" spans="15:15" x14ac:dyDescent="0.35">
      <c r="O528"/>
    </row>
    <row r="529" spans="15:15" x14ac:dyDescent="0.35">
      <c r="O529"/>
    </row>
    <row r="530" spans="15:15" x14ac:dyDescent="0.35">
      <c r="O530"/>
    </row>
    <row r="531" spans="15:15" x14ac:dyDescent="0.35">
      <c r="O531"/>
    </row>
    <row r="532" spans="15:15" x14ac:dyDescent="0.35">
      <c r="O532"/>
    </row>
    <row r="533" spans="15:15" x14ac:dyDescent="0.35">
      <c r="O533"/>
    </row>
    <row r="534" spans="15:15" x14ac:dyDescent="0.35">
      <c r="O534"/>
    </row>
    <row r="535" spans="15:15" x14ac:dyDescent="0.35">
      <c r="O535"/>
    </row>
    <row r="536" spans="15:15" x14ac:dyDescent="0.35">
      <c r="O536"/>
    </row>
    <row r="537" spans="15:15" x14ac:dyDescent="0.35">
      <c r="O537"/>
    </row>
    <row r="538" spans="15:15" x14ac:dyDescent="0.35">
      <c r="O538"/>
    </row>
    <row r="539" spans="15:15" x14ac:dyDescent="0.35">
      <c r="O539"/>
    </row>
    <row r="540" spans="15:15" x14ac:dyDescent="0.35">
      <c r="O540"/>
    </row>
    <row r="541" spans="15:15" x14ac:dyDescent="0.35">
      <c r="O541"/>
    </row>
    <row r="542" spans="15:15" x14ac:dyDescent="0.35">
      <c r="O542"/>
    </row>
    <row r="543" spans="15:15" x14ac:dyDescent="0.35">
      <c r="O543"/>
    </row>
    <row r="544" spans="15:15" x14ac:dyDescent="0.35">
      <c r="O544"/>
    </row>
    <row r="545" spans="15:15" x14ac:dyDescent="0.35">
      <c r="O545"/>
    </row>
    <row r="546" spans="15:15" x14ac:dyDescent="0.35">
      <c r="O546"/>
    </row>
    <row r="547" spans="15:15" x14ac:dyDescent="0.35">
      <c r="O547"/>
    </row>
    <row r="548" spans="15:15" x14ac:dyDescent="0.35">
      <c r="O548"/>
    </row>
    <row r="549" spans="15:15" x14ac:dyDescent="0.35">
      <c r="O549"/>
    </row>
    <row r="550" spans="15:15" x14ac:dyDescent="0.35">
      <c r="O550"/>
    </row>
    <row r="551" spans="15:15" x14ac:dyDescent="0.35">
      <c r="O551"/>
    </row>
    <row r="552" spans="15:15" x14ac:dyDescent="0.35">
      <c r="O552"/>
    </row>
    <row r="553" spans="15:15" x14ac:dyDescent="0.35">
      <c r="O553"/>
    </row>
    <row r="554" spans="15:15" x14ac:dyDescent="0.35">
      <c r="O554"/>
    </row>
    <row r="555" spans="15:15" x14ac:dyDescent="0.35">
      <c r="O555"/>
    </row>
    <row r="556" spans="15:15" x14ac:dyDescent="0.35">
      <c r="O556"/>
    </row>
    <row r="557" spans="15:15" x14ac:dyDescent="0.35">
      <c r="O557"/>
    </row>
    <row r="558" spans="15:15" x14ac:dyDescent="0.35">
      <c r="O558"/>
    </row>
    <row r="559" spans="15:15" x14ac:dyDescent="0.35">
      <c r="O559"/>
    </row>
    <row r="560" spans="15:15" x14ac:dyDescent="0.35">
      <c r="O560"/>
    </row>
    <row r="561" spans="15:15" x14ac:dyDescent="0.35">
      <c r="O561"/>
    </row>
    <row r="562" spans="15:15" x14ac:dyDescent="0.35">
      <c r="O562"/>
    </row>
    <row r="563" spans="15:15" x14ac:dyDescent="0.35">
      <c r="O563"/>
    </row>
    <row r="564" spans="15:15" x14ac:dyDescent="0.35">
      <c r="O564"/>
    </row>
    <row r="565" spans="15:15" x14ac:dyDescent="0.35">
      <c r="O565"/>
    </row>
    <row r="566" spans="15:15" x14ac:dyDescent="0.35">
      <c r="O566"/>
    </row>
    <row r="567" spans="15:15" x14ac:dyDescent="0.35">
      <c r="O567"/>
    </row>
    <row r="568" spans="15:15" x14ac:dyDescent="0.35">
      <c r="O568"/>
    </row>
    <row r="569" spans="15:15" x14ac:dyDescent="0.35">
      <c r="O569"/>
    </row>
    <row r="570" spans="15:15" x14ac:dyDescent="0.35">
      <c r="O570"/>
    </row>
    <row r="571" spans="15:15" x14ac:dyDescent="0.35">
      <c r="O571"/>
    </row>
    <row r="572" spans="15:15" x14ac:dyDescent="0.35">
      <c r="O572"/>
    </row>
    <row r="573" spans="15:15" x14ac:dyDescent="0.35">
      <c r="O573"/>
    </row>
    <row r="574" spans="15:15" x14ac:dyDescent="0.35">
      <c r="O574"/>
    </row>
    <row r="575" spans="15:15" x14ac:dyDescent="0.35">
      <c r="O575"/>
    </row>
    <row r="576" spans="15:15" x14ac:dyDescent="0.35">
      <c r="O576"/>
    </row>
    <row r="577" spans="15:15" x14ac:dyDescent="0.35">
      <c r="O577"/>
    </row>
    <row r="578" spans="15:15" x14ac:dyDescent="0.35">
      <c r="O578"/>
    </row>
    <row r="579" spans="15:15" x14ac:dyDescent="0.35">
      <c r="O579"/>
    </row>
    <row r="580" spans="15:15" x14ac:dyDescent="0.35">
      <c r="O580"/>
    </row>
    <row r="581" spans="15:15" x14ac:dyDescent="0.35">
      <c r="O581"/>
    </row>
    <row r="582" spans="15:15" x14ac:dyDescent="0.35">
      <c r="O582"/>
    </row>
    <row r="583" spans="15:15" x14ac:dyDescent="0.35">
      <c r="O583"/>
    </row>
    <row r="584" spans="15:15" x14ac:dyDescent="0.35">
      <c r="O584"/>
    </row>
    <row r="585" spans="15:15" x14ac:dyDescent="0.35">
      <c r="O585"/>
    </row>
    <row r="586" spans="15:15" x14ac:dyDescent="0.35">
      <c r="O586"/>
    </row>
    <row r="587" spans="15:15" x14ac:dyDescent="0.35">
      <c r="O587"/>
    </row>
    <row r="588" spans="15:15" x14ac:dyDescent="0.35">
      <c r="O588"/>
    </row>
    <row r="589" spans="15:15" x14ac:dyDescent="0.35">
      <c r="O589"/>
    </row>
    <row r="590" spans="15:15" x14ac:dyDescent="0.35">
      <c r="O590"/>
    </row>
    <row r="591" spans="15:15" x14ac:dyDescent="0.35">
      <c r="O591"/>
    </row>
    <row r="592" spans="15:15" x14ac:dyDescent="0.35">
      <c r="O592"/>
    </row>
    <row r="593" spans="15:15" x14ac:dyDescent="0.35">
      <c r="O593"/>
    </row>
    <row r="594" spans="15:15" x14ac:dyDescent="0.35">
      <c r="O594"/>
    </row>
    <row r="595" spans="15:15" x14ac:dyDescent="0.35">
      <c r="O595"/>
    </row>
    <row r="596" spans="15:15" x14ac:dyDescent="0.35">
      <c r="O596"/>
    </row>
    <row r="597" spans="15:15" x14ac:dyDescent="0.35">
      <c r="O597"/>
    </row>
    <row r="598" spans="15:15" x14ac:dyDescent="0.35">
      <c r="O598"/>
    </row>
    <row r="599" spans="15:15" x14ac:dyDescent="0.35">
      <c r="O599"/>
    </row>
    <row r="600" spans="15:15" x14ac:dyDescent="0.35">
      <c r="O600"/>
    </row>
    <row r="601" spans="15:15" x14ac:dyDescent="0.35">
      <c r="O601"/>
    </row>
    <row r="602" spans="15:15" x14ac:dyDescent="0.35">
      <c r="O602"/>
    </row>
    <row r="603" spans="15:15" x14ac:dyDescent="0.35">
      <c r="O603"/>
    </row>
    <row r="604" spans="15:15" x14ac:dyDescent="0.35">
      <c r="O604"/>
    </row>
    <row r="605" spans="15:15" x14ac:dyDescent="0.35">
      <c r="O605"/>
    </row>
    <row r="606" spans="15:15" x14ac:dyDescent="0.35">
      <c r="O606"/>
    </row>
    <row r="607" spans="15:15" x14ac:dyDescent="0.35">
      <c r="O607"/>
    </row>
    <row r="608" spans="15:15" x14ac:dyDescent="0.35">
      <c r="O608"/>
    </row>
    <row r="609" spans="15:15" x14ac:dyDescent="0.35">
      <c r="O609"/>
    </row>
    <row r="610" spans="15:15" x14ac:dyDescent="0.35">
      <c r="O610"/>
    </row>
    <row r="611" spans="15:15" x14ac:dyDescent="0.35">
      <c r="O611"/>
    </row>
    <row r="612" spans="15:15" x14ac:dyDescent="0.35">
      <c r="O612"/>
    </row>
    <row r="613" spans="15:15" x14ac:dyDescent="0.35">
      <c r="O613"/>
    </row>
    <row r="614" spans="15:15" x14ac:dyDescent="0.35">
      <c r="O614"/>
    </row>
    <row r="615" spans="15:15" x14ac:dyDescent="0.35">
      <c r="O615"/>
    </row>
    <row r="616" spans="15:15" x14ac:dyDescent="0.35">
      <c r="O616"/>
    </row>
    <row r="617" spans="15:15" x14ac:dyDescent="0.35">
      <c r="O617"/>
    </row>
    <row r="618" spans="15:15" x14ac:dyDescent="0.35">
      <c r="O618"/>
    </row>
    <row r="619" spans="15:15" x14ac:dyDescent="0.35">
      <c r="O619"/>
    </row>
    <row r="620" spans="15:15" x14ac:dyDescent="0.35">
      <c r="O620"/>
    </row>
    <row r="621" spans="15:15" x14ac:dyDescent="0.35">
      <c r="O621"/>
    </row>
    <row r="622" spans="15:15" x14ac:dyDescent="0.35">
      <c r="O622"/>
    </row>
    <row r="623" spans="15:15" x14ac:dyDescent="0.35">
      <c r="O623"/>
    </row>
    <row r="624" spans="15:15" x14ac:dyDescent="0.35">
      <c r="O624"/>
    </row>
    <row r="625" spans="15:15" x14ac:dyDescent="0.35">
      <c r="O625"/>
    </row>
    <row r="626" spans="15:15" x14ac:dyDescent="0.35">
      <c r="O626"/>
    </row>
    <row r="627" spans="15:15" x14ac:dyDescent="0.35">
      <c r="O627"/>
    </row>
    <row r="628" spans="15:15" x14ac:dyDescent="0.35">
      <c r="O628"/>
    </row>
    <row r="629" spans="15:15" x14ac:dyDescent="0.35">
      <c r="O629"/>
    </row>
    <row r="630" spans="15:15" x14ac:dyDescent="0.35">
      <c r="O630"/>
    </row>
    <row r="631" spans="15:15" x14ac:dyDescent="0.35">
      <c r="O631"/>
    </row>
    <row r="632" spans="15:15" x14ac:dyDescent="0.35">
      <c r="O632"/>
    </row>
    <row r="633" spans="15:15" x14ac:dyDescent="0.35">
      <c r="O633"/>
    </row>
    <row r="634" spans="15:15" x14ac:dyDescent="0.35">
      <c r="O634"/>
    </row>
    <row r="635" spans="15:15" x14ac:dyDescent="0.35">
      <c r="O635"/>
    </row>
    <row r="636" spans="15:15" x14ac:dyDescent="0.35">
      <c r="O636"/>
    </row>
    <row r="637" spans="15:15" x14ac:dyDescent="0.35">
      <c r="O637"/>
    </row>
    <row r="638" spans="15:15" x14ac:dyDescent="0.35">
      <c r="O638"/>
    </row>
    <row r="639" spans="15:15" x14ac:dyDescent="0.35">
      <c r="O639"/>
    </row>
    <row r="640" spans="15:15" x14ac:dyDescent="0.35">
      <c r="O640"/>
    </row>
    <row r="641" spans="15:15" x14ac:dyDescent="0.35">
      <c r="O641"/>
    </row>
    <row r="642" spans="15:15" x14ac:dyDescent="0.35">
      <c r="O642"/>
    </row>
    <row r="643" spans="15:15" x14ac:dyDescent="0.35">
      <c r="O643"/>
    </row>
    <row r="644" spans="15:15" x14ac:dyDescent="0.35">
      <c r="O644"/>
    </row>
    <row r="645" spans="15:15" x14ac:dyDescent="0.35">
      <c r="O645"/>
    </row>
    <row r="646" spans="15:15" x14ac:dyDescent="0.35">
      <c r="O646"/>
    </row>
    <row r="647" spans="15:15" x14ac:dyDescent="0.35">
      <c r="O647"/>
    </row>
    <row r="648" spans="15:15" x14ac:dyDescent="0.35">
      <c r="O648"/>
    </row>
    <row r="649" spans="15:15" x14ac:dyDescent="0.35">
      <c r="O649"/>
    </row>
    <row r="650" spans="15:15" x14ac:dyDescent="0.35">
      <c r="O650"/>
    </row>
    <row r="651" spans="15:15" x14ac:dyDescent="0.35">
      <c r="O651"/>
    </row>
    <row r="652" spans="15:15" x14ac:dyDescent="0.35">
      <c r="O652"/>
    </row>
    <row r="653" spans="15:15" x14ac:dyDescent="0.35">
      <c r="O653"/>
    </row>
    <row r="654" spans="15:15" x14ac:dyDescent="0.35">
      <c r="O654"/>
    </row>
    <row r="655" spans="15:15" x14ac:dyDescent="0.35">
      <c r="O655"/>
    </row>
    <row r="656" spans="15:15" x14ac:dyDescent="0.35">
      <c r="O656"/>
    </row>
    <row r="657" spans="15:15" x14ac:dyDescent="0.35">
      <c r="O657"/>
    </row>
    <row r="658" spans="15:15" x14ac:dyDescent="0.35">
      <c r="O658"/>
    </row>
    <row r="659" spans="15:15" x14ac:dyDescent="0.35">
      <c r="O659"/>
    </row>
    <row r="660" spans="15:15" x14ac:dyDescent="0.35">
      <c r="O660"/>
    </row>
    <row r="661" spans="15:15" x14ac:dyDescent="0.35">
      <c r="O661"/>
    </row>
    <row r="662" spans="15:15" x14ac:dyDescent="0.35">
      <c r="O662"/>
    </row>
    <row r="663" spans="15:15" x14ac:dyDescent="0.35">
      <c r="O663"/>
    </row>
    <row r="664" spans="15:15" x14ac:dyDescent="0.35">
      <c r="O664"/>
    </row>
    <row r="665" spans="15:15" x14ac:dyDescent="0.35">
      <c r="O665"/>
    </row>
    <row r="666" spans="15:15" x14ac:dyDescent="0.35">
      <c r="O666"/>
    </row>
    <row r="667" spans="15:15" x14ac:dyDescent="0.35">
      <c r="O667"/>
    </row>
    <row r="668" spans="15:15" x14ac:dyDescent="0.35">
      <c r="O668"/>
    </row>
    <row r="669" spans="15:15" x14ac:dyDescent="0.35">
      <c r="O669"/>
    </row>
    <row r="670" spans="15:15" x14ac:dyDescent="0.35">
      <c r="O670"/>
    </row>
    <row r="671" spans="15:15" x14ac:dyDescent="0.35">
      <c r="O671"/>
    </row>
    <row r="672" spans="15:15" x14ac:dyDescent="0.35">
      <c r="O672"/>
    </row>
    <row r="673" spans="15:15" x14ac:dyDescent="0.35">
      <c r="O673"/>
    </row>
    <row r="674" spans="15:15" x14ac:dyDescent="0.35">
      <c r="O674"/>
    </row>
    <row r="675" spans="15:15" x14ac:dyDescent="0.35">
      <c r="O675"/>
    </row>
    <row r="676" spans="15:15" x14ac:dyDescent="0.35">
      <c r="O676"/>
    </row>
    <row r="677" spans="15:15" x14ac:dyDescent="0.35">
      <c r="O677"/>
    </row>
    <row r="678" spans="15:15" x14ac:dyDescent="0.35">
      <c r="O678"/>
    </row>
    <row r="679" spans="15:15" x14ac:dyDescent="0.35">
      <c r="O679"/>
    </row>
    <row r="680" spans="15:15" x14ac:dyDescent="0.35">
      <c r="O680"/>
    </row>
    <row r="681" spans="15:15" x14ac:dyDescent="0.35">
      <c r="O681"/>
    </row>
    <row r="682" spans="15:15" x14ac:dyDescent="0.35">
      <c r="O682"/>
    </row>
    <row r="683" spans="15:15" x14ac:dyDescent="0.35">
      <c r="O683"/>
    </row>
    <row r="684" spans="15:15" x14ac:dyDescent="0.35">
      <c r="O684"/>
    </row>
    <row r="685" spans="15:15" x14ac:dyDescent="0.35">
      <c r="O685"/>
    </row>
    <row r="686" spans="15:15" x14ac:dyDescent="0.35">
      <c r="O686"/>
    </row>
    <row r="687" spans="15:15" x14ac:dyDescent="0.35">
      <c r="O687"/>
    </row>
    <row r="688" spans="15:15" x14ac:dyDescent="0.35">
      <c r="O688"/>
    </row>
    <row r="689" spans="15:15" x14ac:dyDescent="0.35">
      <c r="O689"/>
    </row>
    <row r="690" spans="15:15" x14ac:dyDescent="0.35">
      <c r="O690"/>
    </row>
    <row r="691" spans="15:15" x14ac:dyDescent="0.35">
      <c r="O691"/>
    </row>
    <row r="692" spans="15:15" x14ac:dyDescent="0.35">
      <c r="O692"/>
    </row>
    <row r="693" spans="15:15" x14ac:dyDescent="0.35">
      <c r="O693"/>
    </row>
    <row r="694" spans="15:15" x14ac:dyDescent="0.35">
      <c r="O694"/>
    </row>
    <row r="695" spans="15:15" x14ac:dyDescent="0.35">
      <c r="O695"/>
    </row>
    <row r="696" spans="15:15" x14ac:dyDescent="0.35">
      <c r="O696"/>
    </row>
    <row r="697" spans="15:15" x14ac:dyDescent="0.35">
      <c r="O697"/>
    </row>
    <row r="698" spans="15:15" x14ac:dyDescent="0.35">
      <c r="O698"/>
    </row>
    <row r="699" spans="15:15" x14ac:dyDescent="0.35">
      <c r="O699"/>
    </row>
    <row r="700" spans="15:15" x14ac:dyDescent="0.35">
      <c r="O700"/>
    </row>
    <row r="701" spans="15:15" x14ac:dyDescent="0.35">
      <c r="O701"/>
    </row>
    <row r="702" spans="15:15" x14ac:dyDescent="0.35">
      <c r="O702"/>
    </row>
    <row r="703" spans="15:15" x14ac:dyDescent="0.35">
      <c r="O703"/>
    </row>
    <row r="704" spans="15:15" x14ac:dyDescent="0.35">
      <c r="O704"/>
    </row>
    <row r="705" spans="15:15" x14ac:dyDescent="0.35">
      <c r="O705"/>
    </row>
    <row r="706" spans="15:15" x14ac:dyDescent="0.35">
      <c r="O706"/>
    </row>
    <row r="707" spans="15:15" x14ac:dyDescent="0.35">
      <c r="O707"/>
    </row>
    <row r="708" spans="15:15" x14ac:dyDescent="0.35">
      <c r="O708"/>
    </row>
    <row r="709" spans="15:15" x14ac:dyDescent="0.35">
      <c r="O709"/>
    </row>
    <row r="710" spans="15:15" x14ac:dyDescent="0.35">
      <c r="O710"/>
    </row>
    <row r="711" spans="15:15" x14ac:dyDescent="0.35">
      <c r="O711"/>
    </row>
    <row r="712" spans="15:15" x14ac:dyDescent="0.35">
      <c r="O712"/>
    </row>
    <row r="713" spans="15:15" x14ac:dyDescent="0.35">
      <c r="O713"/>
    </row>
    <row r="714" spans="15:15" x14ac:dyDescent="0.35">
      <c r="O714"/>
    </row>
    <row r="715" spans="15:15" x14ac:dyDescent="0.35">
      <c r="O715"/>
    </row>
    <row r="716" spans="15:15" x14ac:dyDescent="0.35">
      <c r="O716"/>
    </row>
    <row r="717" spans="15:15" x14ac:dyDescent="0.35">
      <c r="O717"/>
    </row>
    <row r="718" spans="15:15" x14ac:dyDescent="0.35">
      <c r="O718"/>
    </row>
    <row r="719" spans="15:15" x14ac:dyDescent="0.35">
      <c r="O719"/>
    </row>
    <row r="720" spans="15:15" x14ac:dyDescent="0.35">
      <c r="O720"/>
    </row>
    <row r="721" spans="15:15" x14ac:dyDescent="0.35">
      <c r="O721"/>
    </row>
    <row r="722" spans="15:15" x14ac:dyDescent="0.35">
      <c r="O722"/>
    </row>
    <row r="723" spans="15:15" x14ac:dyDescent="0.35">
      <c r="O723"/>
    </row>
    <row r="724" spans="15:15" x14ac:dyDescent="0.35">
      <c r="O724"/>
    </row>
    <row r="725" spans="15:15" x14ac:dyDescent="0.35">
      <c r="O725"/>
    </row>
    <row r="726" spans="15:15" x14ac:dyDescent="0.35">
      <c r="O726"/>
    </row>
    <row r="727" spans="15:15" x14ac:dyDescent="0.35">
      <c r="O727"/>
    </row>
    <row r="728" spans="15:15" x14ac:dyDescent="0.35">
      <c r="O728"/>
    </row>
    <row r="729" spans="15:15" x14ac:dyDescent="0.35">
      <c r="O729"/>
    </row>
    <row r="730" spans="15:15" x14ac:dyDescent="0.35">
      <c r="O730"/>
    </row>
    <row r="731" spans="15:15" x14ac:dyDescent="0.35">
      <c r="O731"/>
    </row>
    <row r="732" spans="15:15" x14ac:dyDescent="0.35">
      <c r="O732"/>
    </row>
    <row r="733" spans="15:15" x14ac:dyDescent="0.35">
      <c r="O733"/>
    </row>
    <row r="734" spans="15:15" x14ac:dyDescent="0.35">
      <c r="O734"/>
    </row>
    <row r="735" spans="15:15" x14ac:dyDescent="0.35">
      <c r="O735"/>
    </row>
    <row r="736" spans="15:15" x14ac:dyDescent="0.35">
      <c r="O736"/>
    </row>
    <row r="737" spans="15:15" x14ac:dyDescent="0.35">
      <c r="O737"/>
    </row>
    <row r="738" spans="15:15" x14ac:dyDescent="0.35">
      <c r="O738"/>
    </row>
    <row r="739" spans="15:15" x14ac:dyDescent="0.35">
      <c r="O739"/>
    </row>
    <row r="740" spans="15:15" x14ac:dyDescent="0.35">
      <c r="O740"/>
    </row>
    <row r="741" spans="15:15" x14ac:dyDescent="0.35">
      <c r="O741"/>
    </row>
    <row r="742" spans="15:15" x14ac:dyDescent="0.35">
      <c r="O742"/>
    </row>
    <row r="743" spans="15:15" x14ac:dyDescent="0.35">
      <c r="O743"/>
    </row>
    <row r="744" spans="15:15" x14ac:dyDescent="0.35">
      <c r="O744"/>
    </row>
    <row r="745" spans="15:15" x14ac:dyDescent="0.35">
      <c r="O745"/>
    </row>
    <row r="746" spans="15:15" x14ac:dyDescent="0.35">
      <c r="O746"/>
    </row>
    <row r="747" spans="15:15" x14ac:dyDescent="0.35">
      <c r="O747"/>
    </row>
    <row r="748" spans="15:15" x14ac:dyDescent="0.35">
      <c r="O748"/>
    </row>
    <row r="749" spans="15:15" x14ac:dyDescent="0.35">
      <c r="O749"/>
    </row>
    <row r="750" spans="15:15" x14ac:dyDescent="0.35">
      <c r="O750"/>
    </row>
    <row r="751" spans="15:15" x14ac:dyDescent="0.35">
      <c r="O751"/>
    </row>
    <row r="752" spans="15:15" x14ac:dyDescent="0.35">
      <c r="O752"/>
    </row>
    <row r="753" spans="15:15" x14ac:dyDescent="0.35">
      <c r="O753"/>
    </row>
    <row r="754" spans="15:15" x14ac:dyDescent="0.35">
      <c r="O754"/>
    </row>
    <row r="755" spans="15:15" x14ac:dyDescent="0.35">
      <c r="O755"/>
    </row>
    <row r="756" spans="15:15" x14ac:dyDescent="0.35">
      <c r="O756"/>
    </row>
    <row r="757" spans="15:15" x14ac:dyDescent="0.35">
      <c r="O757"/>
    </row>
    <row r="758" spans="15:15" x14ac:dyDescent="0.35">
      <c r="O758"/>
    </row>
    <row r="759" spans="15:15" x14ac:dyDescent="0.35">
      <c r="O759"/>
    </row>
    <row r="760" spans="15:15" x14ac:dyDescent="0.35">
      <c r="O760"/>
    </row>
    <row r="761" spans="15:15" x14ac:dyDescent="0.35">
      <c r="O761"/>
    </row>
    <row r="762" spans="15:15" x14ac:dyDescent="0.35">
      <c r="O762"/>
    </row>
    <row r="763" spans="15:15" x14ac:dyDescent="0.35">
      <c r="O763"/>
    </row>
    <row r="764" spans="15:15" x14ac:dyDescent="0.35">
      <c r="O764"/>
    </row>
    <row r="765" spans="15:15" x14ac:dyDescent="0.35">
      <c r="O765"/>
    </row>
    <row r="766" spans="15:15" x14ac:dyDescent="0.35">
      <c r="O766"/>
    </row>
    <row r="767" spans="15:15" x14ac:dyDescent="0.35">
      <c r="O767"/>
    </row>
    <row r="768" spans="15:15" x14ac:dyDescent="0.35">
      <c r="O768"/>
    </row>
    <row r="769" spans="15:15" x14ac:dyDescent="0.35">
      <c r="O769"/>
    </row>
    <row r="770" spans="15:15" x14ac:dyDescent="0.35">
      <c r="O770"/>
    </row>
    <row r="771" spans="15:15" x14ac:dyDescent="0.35">
      <c r="O771"/>
    </row>
    <row r="772" spans="15:15" x14ac:dyDescent="0.35">
      <c r="O772"/>
    </row>
    <row r="773" spans="15:15" x14ac:dyDescent="0.35">
      <c r="O773"/>
    </row>
    <row r="774" spans="15:15" x14ac:dyDescent="0.35">
      <c r="O774"/>
    </row>
    <row r="775" spans="15:15" x14ac:dyDescent="0.35">
      <c r="O775"/>
    </row>
    <row r="776" spans="15:15" x14ac:dyDescent="0.35">
      <c r="O776"/>
    </row>
    <row r="777" spans="15:15" x14ac:dyDescent="0.35">
      <c r="O777"/>
    </row>
    <row r="778" spans="15:15" x14ac:dyDescent="0.35">
      <c r="O778"/>
    </row>
    <row r="779" spans="15:15" x14ac:dyDescent="0.35">
      <c r="O779"/>
    </row>
    <row r="780" spans="15:15" x14ac:dyDescent="0.35">
      <c r="O780"/>
    </row>
    <row r="781" spans="15:15" x14ac:dyDescent="0.35">
      <c r="O781"/>
    </row>
    <row r="782" spans="15:15" x14ac:dyDescent="0.35">
      <c r="O782"/>
    </row>
    <row r="783" spans="15:15" x14ac:dyDescent="0.35">
      <c r="O783"/>
    </row>
    <row r="784" spans="15:15" x14ac:dyDescent="0.35">
      <c r="O784"/>
    </row>
    <row r="785" spans="15:15" x14ac:dyDescent="0.35">
      <c r="O785"/>
    </row>
    <row r="786" spans="15:15" x14ac:dyDescent="0.35">
      <c r="O786"/>
    </row>
    <row r="787" spans="15:15" x14ac:dyDescent="0.35">
      <c r="O787"/>
    </row>
    <row r="788" spans="15:15" x14ac:dyDescent="0.35">
      <c r="O788"/>
    </row>
    <row r="789" spans="15:15" x14ac:dyDescent="0.35">
      <c r="O789"/>
    </row>
    <row r="790" spans="15:15" x14ac:dyDescent="0.35">
      <c r="O790"/>
    </row>
    <row r="791" spans="15:15" x14ac:dyDescent="0.35">
      <c r="O791"/>
    </row>
    <row r="792" spans="15:15" x14ac:dyDescent="0.35">
      <c r="O792"/>
    </row>
    <row r="793" spans="15:15" x14ac:dyDescent="0.35">
      <c r="O793"/>
    </row>
    <row r="794" spans="15:15" x14ac:dyDescent="0.35">
      <c r="O794"/>
    </row>
    <row r="795" spans="15:15" x14ac:dyDescent="0.35">
      <c r="O795"/>
    </row>
    <row r="796" spans="15:15" x14ac:dyDescent="0.35">
      <c r="O796"/>
    </row>
    <row r="797" spans="15:15" x14ac:dyDescent="0.35">
      <c r="O797"/>
    </row>
    <row r="798" spans="15:15" x14ac:dyDescent="0.35">
      <c r="O798"/>
    </row>
    <row r="799" spans="15:15" x14ac:dyDescent="0.35">
      <c r="O799"/>
    </row>
    <row r="800" spans="15:15" x14ac:dyDescent="0.35">
      <c r="O800"/>
    </row>
    <row r="801" spans="15:15" x14ac:dyDescent="0.35">
      <c r="O801"/>
    </row>
    <row r="802" spans="15:15" x14ac:dyDescent="0.35">
      <c r="O802"/>
    </row>
    <row r="803" spans="15:15" x14ac:dyDescent="0.35">
      <c r="O803"/>
    </row>
    <row r="804" spans="15:15" x14ac:dyDescent="0.35">
      <c r="O804"/>
    </row>
    <row r="805" spans="15:15" x14ac:dyDescent="0.35">
      <c r="O805"/>
    </row>
    <row r="806" spans="15:15" x14ac:dyDescent="0.35">
      <c r="O806"/>
    </row>
    <row r="807" spans="15:15" x14ac:dyDescent="0.35">
      <c r="O807"/>
    </row>
    <row r="808" spans="15:15" x14ac:dyDescent="0.35">
      <c r="O808"/>
    </row>
    <row r="809" spans="15:15" x14ac:dyDescent="0.35">
      <c r="O809"/>
    </row>
    <row r="810" spans="15:15" x14ac:dyDescent="0.35">
      <c r="O810"/>
    </row>
    <row r="811" spans="15:15" x14ac:dyDescent="0.35">
      <c r="O811"/>
    </row>
    <row r="812" spans="15:15" x14ac:dyDescent="0.35">
      <c r="O812"/>
    </row>
    <row r="813" spans="15:15" x14ac:dyDescent="0.35">
      <c r="O813"/>
    </row>
    <row r="814" spans="15:15" x14ac:dyDescent="0.35">
      <c r="O814"/>
    </row>
    <row r="815" spans="15:15" x14ac:dyDescent="0.35">
      <c r="O815"/>
    </row>
    <row r="816" spans="15:15" x14ac:dyDescent="0.35">
      <c r="O816"/>
    </row>
    <row r="817" spans="15:15" x14ac:dyDescent="0.35">
      <c r="O817"/>
    </row>
    <row r="818" spans="15:15" x14ac:dyDescent="0.35">
      <c r="O818"/>
    </row>
    <row r="819" spans="15:15" x14ac:dyDescent="0.35">
      <c r="O819"/>
    </row>
    <row r="820" spans="15:15" x14ac:dyDescent="0.35">
      <c r="O820"/>
    </row>
    <row r="821" spans="15:15" x14ac:dyDescent="0.35">
      <c r="O821"/>
    </row>
    <row r="822" spans="15:15" x14ac:dyDescent="0.35">
      <c r="O822"/>
    </row>
    <row r="823" spans="15:15" x14ac:dyDescent="0.35">
      <c r="O823"/>
    </row>
    <row r="824" spans="15:15" x14ac:dyDescent="0.35">
      <c r="O824"/>
    </row>
    <row r="825" spans="15:15" x14ac:dyDescent="0.35">
      <c r="O825"/>
    </row>
    <row r="826" spans="15:15" x14ac:dyDescent="0.35">
      <c r="O826"/>
    </row>
    <row r="827" spans="15:15" x14ac:dyDescent="0.35">
      <c r="O827"/>
    </row>
    <row r="828" spans="15:15" x14ac:dyDescent="0.35">
      <c r="O828"/>
    </row>
    <row r="829" spans="15:15" x14ac:dyDescent="0.35">
      <c r="O829"/>
    </row>
    <row r="830" spans="15:15" x14ac:dyDescent="0.35">
      <c r="O830"/>
    </row>
    <row r="831" spans="15:15" x14ac:dyDescent="0.35">
      <c r="O831"/>
    </row>
    <row r="832" spans="15:15" x14ac:dyDescent="0.35">
      <c r="O832"/>
    </row>
    <row r="833" spans="15:15" x14ac:dyDescent="0.35">
      <c r="O833"/>
    </row>
    <row r="834" spans="15:15" x14ac:dyDescent="0.35">
      <c r="O834"/>
    </row>
    <row r="835" spans="15:15" x14ac:dyDescent="0.35">
      <c r="O835"/>
    </row>
    <row r="836" spans="15:15" x14ac:dyDescent="0.35">
      <c r="O836"/>
    </row>
    <row r="837" spans="15:15" x14ac:dyDescent="0.35">
      <c r="O837"/>
    </row>
    <row r="838" spans="15:15" x14ac:dyDescent="0.35">
      <c r="O838"/>
    </row>
    <row r="839" spans="15:15" x14ac:dyDescent="0.35">
      <c r="O839"/>
    </row>
    <row r="840" spans="15:15" x14ac:dyDescent="0.35">
      <c r="O840"/>
    </row>
    <row r="841" spans="15:15" x14ac:dyDescent="0.35">
      <c r="O841"/>
    </row>
    <row r="842" spans="15:15" x14ac:dyDescent="0.35">
      <c r="O842"/>
    </row>
    <row r="843" spans="15:15" x14ac:dyDescent="0.35">
      <c r="O843"/>
    </row>
    <row r="844" spans="15:15" x14ac:dyDescent="0.35">
      <c r="O844"/>
    </row>
    <row r="845" spans="15:15" x14ac:dyDescent="0.35">
      <c r="O845"/>
    </row>
    <row r="846" spans="15:15" x14ac:dyDescent="0.35">
      <c r="O846"/>
    </row>
    <row r="847" spans="15:15" x14ac:dyDescent="0.35">
      <c r="O847"/>
    </row>
    <row r="848" spans="15:15" x14ac:dyDescent="0.35">
      <c r="O848"/>
    </row>
    <row r="849" spans="15:15" x14ac:dyDescent="0.35">
      <c r="O849"/>
    </row>
    <row r="850" spans="15:15" x14ac:dyDescent="0.35">
      <c r="O850"/>
    </row>
    <row r="851" spans="15:15" x14ac:dyDescent="0.35">
      <c r="O851"/>
    </row>
    <row r="852" spans="15:15" x14ac:dyDescent="0.35">
      <c r="O852"/>
    </row>
    <row r="853" spans="15:15" x14ac:dyDescent="0.35">
      <c r="O853"/>
    </row>
    <row r="854" spans="15:15" x14ac:dyDescent="0.35">
      <c r="O854"/>
    </row>
    <row r="855" spans="15:15" x14ac:dyDescent="0.35">
      <c r="O855"/>
    </row>
    <row r="856" spans="15:15" x14ac:dyDescent="0.35">
      <c r="O856"/>
    </row>
    <row r="857" spans="15:15" x14ac:dyDescent="0.35">
      <c r="O857"/>
    </row>
    <row r="858" spans="15:15" x14ac:dyDescent="0.35">
      <c r="O858"/>
    </row>
    <row r="859" spans="15:15" x14ac:dyDescent="0.35">
      <c r="O859"/>
    </row>
    <row r="860" spans="15:15" x14ac:dyDescent="0.35">
      <c r="O860"/>
    </row>
    <row r="861" spans="15:15" x14ac:dyDescent="0.35">
      <c r="O861"/>
    </row>
    <row r="862" spans="15:15" x14ac:dyDescent="0.35">
      <c r="O862"/>
    </row>
    <row r="863" spans="15:15" x14ac:dyDescent="0.35">
      <c r="O863"/>
    </row>
    <row r="864" spans="15:15" x14ac:dyDescent="0.35">
      <c r="O864"/>
    </row>
    <row r="865" spans="15:15" x14ac:dyDescent="0.35">
      <c r="O865"/>
    </row>
    <row r="866" spans="15:15" x14ac:dyDescent="0.35">
      <c r="O866"/>
    </row>
    <row r="867" spans="15:15" x14ac:dyDescent="0.35">
      <c r="O867"/>
    </row>
    <row r="868" spans="15:15" x14ac:dyDescent="0.35">
      <c r="O868"/>
    </row>
    <row r="869" spans="15:15" x14ac:dyDescent="0.35">
      <c r="O869"/>
    </row>
    <row r="870" spans="15:15" x14ac:dyDescent="0.35">
      <c r="O870"/>
    </row>
    <row r="871" spans="15:15" x14ac:dyDescent="0.35">
      <c r="O871"/>
    </row>
    <row r="872" spans="15:15" x14ac:dyDescent="0.35">
      <c r="O872"/>
    </row>
    <row r="873" spans="15:15" x14ac:dyDescent="0.35">
      <c r="O873"/>
    </row>
    <row r="874" spans="15:15" x14ac:dyDescent="0.35">
      <c r="O874"/>
    </row>
    <row r="875" spans="15:15" x14ac:dyDescent="0.35">
      <c r="O875"/>
    </row>
    <row r="876" spans="15:15" x14ac:dyDescent="0.35">
      <c r="O876"/>
    </row>
    <row r="877" spans="15:15" x14ac:dyDescent="0.35">
      <c r="O877"/>
    </row>
    <row r="878" spans="15:15" x14ac:dyDescent="0.35">
      <c r="O878"/>
    </row>
    <row r="879" spans="15:15" x14ac:dyDescent="0.35">
      <c r="O879"/>
    </row>
    <row r="880" spans="15:15" x14ac:dyDescent="0.35">
      <c r="O880"/>
    </row>
    <row r="881" spans="15:15" x14ac:dyDescent="0.35">
      <c r="O881"/>
    </row>
    <row r="882" spans="15:15" x14ac:dyDescent="0.35">
      <c r="O882"/>
    </row>
    <row r="883" spans="15:15" x14ac:dyDescent="0.35">
      <c r="O883"/>
    </row>
    <row r="884" spans="15:15" x14ac:dyDescent="0.35">
      <c r="O884"/>
    </row>
    <row r="885" spans="15:15" x14ac:dyDescent="0.35">
      <c r="O885"/>
    </row>
    <row r="886" spans="15:15" x14ac:dyDescent="0.35">
      <c r="O886"/>
    </row>
    <row r="887" spans="15:15" x14ac:dyDescent="0.35">
      <c r="O887"/>
    </row>
    <row r="888" spans="15:15" x14ac:dyDescent="0.35">
      <c r="O888"/>
    </row>
    <row r="889" spans="15:15" x14ac:dyDescent="0.35">
      <c r="O889"/>
    </row>
    <row r="890" spans="15:15" x14ac:dyDescent="0.35">
      <c r="O890"/>
    </row>
    <row r="891" spans="15:15" x14ac:dyDescent="0.35">
      <c r="O891"/>
    </row>
    <row r="892" spans="15:15" x14ac:dyDescent="0.35">
      <c r="O892"/>
    </row>
    <row r="893" spans="15:15" x14ac:dyDescent="0.35">
      <c r="O893"/>
    </row>
    <row r="894" spans="15:15" x14ac:dyDescent="0.35">
      <c r="O894"/>
    </row>
    <row r="895" spans="15:15" x14ac:dyDescent="0.35">
      <c r="O895"/>
    </row>
    <row r="896" spans="15:15" x14ac:dyDescent="0.35">
      <c r="O896"/>
    </row>
    <row r="897" spans="15:15" x14ac:dyDescent="0.35">
      <c r="O897"/>
    </row>
    <row r="898" spans="15:15" x14ac:dyDescent="0.35">
      <c r="O898"/>
    </row>
    <row r="899" spans="15:15" x14ac:dyDescent="0.35">
      <c r="O899"/>
    </row>
    <row r="900" spans="15:15" x14ac:dyDescent="0.35">
      <c r="O900"/>
    </row>
    <row r="901" spans="15:15" x14ac:dyDescent="0.35">
      <c r="O901"/>
    </row>
    <row r="902" spans="15:15" x14ac:dyDescent="0.35">
      <c r="O902"/>
    </row>
    <row r="903" spans="15:15" x14ac:dyDescent="0.35">
      <c r="O903"/>
    </row>
    <row r="904" spans="15:15" x14ac:dyDescent="0.35">
      <c r="O904"/>
    </row>
    <row r="905" spans="15:15" x14ac:dyDescent="0.35">
      <c r="O905"/>
    </row>
    <row r="906" spans="15:15" x14ac:dyDescent="0.35">
      <c r="O906"/>
    </row>
    <row r="907" spans="15:15" x14ac:dyDescent="0.35">
      <c r="O907"/>
    </row>
    <row r="908" spans="15:15" x14ac:dyDescent="0.35">
      <c r="O908"/>
    </row>
    <row r="909" spans="15:15" x14ac:dyDescent="0.35">
      <c r="O909"/>
    </row>
    <row r="910" spans="15:15" x14ac:dyDescent="0.35">
      <c r="O910"/>
    </row>
    <row r="911" spans="15:15" x14ac:dyDescent="0.35">
      <c r="O911"/>
    </row>
    <row r="912" spans="15:15" x14ac:dyDescent="0.35">
      <c r="O912"/>
    </row>
    <row r="913" spans="15:15" x14ac:dyDescent="0.35">
      <c r="O913"/>
    </row>
    <row r="914" spans="15:15" x14ac:dyDescent="0.35">
      <c r="O914"/>
    </row>
    <row r="915" spans="15:15" x14ac:dyDescent="0.35">
      <c r="O915"/>
    </row>
    <row r="916" spans="15:15" x14ac:dyDescent="0.35">
      <c r="O916"/>
    </row>
    <row r="917" spans="15:15" x14ac:dyDescent="0.35">
      <c r="O917"/>
    </row>
    <row r="918" spans="15:15" x14ac:dyDescent="0.35">
      <c r="O918"/>
    </row>
    <row r="919" spans="15:15" x14ac:dyDescent="0.35">
      <c r="O919"/>
    </row>
    <row r="920" spans="15:15" x14ac:dyDescent="0.35">
      <c r="O920"/>
    </row>
    <row r="921" spans="15:15" x14ac:dyDescent="0.35">
      <c r="O921"/>
    </row>
    <row r="922" spans="15:15" x14ac:dyDescent="0.35">
      <c r="O922"/>
    </row>
    <row r="923" spans="15:15" x14ac:dyDescent="0.35">
      <c r="O923"/>
    </row>
    <row r="924" spans="15:15" x14ac:dyDescent="0.35">
      <c r="O924"/>
    </row>
    <row r="925" spans="15:15" x14ac:dyDescent="0.35">
      <c r="O925"/>
    </row>
    <row r="926" spans="15:15" x14ac:dyDescent="0.35">
      <c r="O926"/>
    </row>
    <row r="927" spans="15:15" x14ac:dyDescent="0.35">
      <c r="O927"/>
    </row>
    <row r="928" spans="15:15" x14ac:dyDescent="0.35">
      <c r="O928"/>
    </row>
    <row r="929" spans="15:15" x14ac:dyDescent="0.35">
      <c r="O929"/>
    </row>
    <row r="930" spans="15:15" x14ac:dyDescent="0.35">
      <c r="O930"/>
    </row>
    <row r="931" spans="15:15" x14ac:dyDescent="0.35">
      <c r="O931"/>
    </row>
    <row r="932" spans="15:15" x14ac:dyDescent="0.35">
      <c r="O932"/>
    </row>
    <row r="933" spans="15:15" x14ac:dyDescent="0.35">
      <c r="O933"/>
    </row>
    <row r="934" spans="15:15" x14ac:dyDescent="0.35">
      <c r="O934"/>
    </row>
    <row r="935" spans="15:15" x14ac:dyDescent="0.35">
      <c r="O935"/>
    </row>
    <row r="936" spans="15:15" x14ac:dyDescent="0.35">
      <c r="O936"/>
    </row>
    <row r="937" spans="15:15" x14ac:dyDescent="0.35">
      <c r="O937"/>
    </row>
    <row r="938" spans="15:15" x14ac:dyDescent="0.35">
      <c r="O938"/>
    </row>
    <row r="939" spans="15:15" x14ac:dyDescent="0.35">
      <c r="O939"/>
    </row>
    <row r="940" spans="15:15" x14ac:dyDescent="0.35">
      <c r="O940"/>
    </row>
    <row r="941" spans="15:15" x14ac:dyDescent="0.35">
      <c r="O941"/>
    </row>
    <row r="942" spans="15:15" x14ac:dyDescent="0.35">
      <c r="O942"/>
    </row>
    <row r="943" spans="15:15" x14ac:dyDescent="0.35">
      <c r="O943"/>
    </row>
    <row r="944" spans="15:15" x14ac:dyDescent="0.35">
      <c r="O944"/>
    </row>
    <row r="945" spans="15:15" x14ac:dyDescent="0.35">
      <c r="O945"/>
    </row>
    <row r="946" spans="15:15" x14ac:dyDescent="0.35">
      <c r="O946"/>
    </row>
    <row r="947" spans="15:15" x14ac:dyDescent="0.35">
      <c r="O947"/>
    </row>
    <row r="948" spans="15:15" x14ac:dyDescent="0.35">
      <c r="O948"/>
    </row>
    <row r="949" spans="15:15" x14ac:dyDescent="0.35">
      <c r="O949"/>
    </row>
    <row r="950" spans="15:15" x14ac:dyDescent="0.35">
      <c r="O950"/>
    </row>
    <row r="951" spans="15:15" x14ac:dyDescent="0.35">
      <c r="O951"/>
    </row>
    <row r="952" spans="15:15" x14ac:dyDescent="0.35">
      <c r="O952"/>
    </row>
    <row r="953" spans="15:15" x14ac:dyDescent="0.35">
      <c r="O953"/>
    </row>
    <row r="954" spans="15:15" x14ac:dyDescent="0.35">
      <c r="O954"/>
    </row>
    <row r="955" spans="15:15" x14ac:dyDescent="0.35">
      <c r="O955"/>
    </row>
    <row r="956" spans="15:15" x14ac:dyDescent="0.35">
      <c r="O956"/>
    </row>
    <row r="957" spans="15:15" x14ac:dyDescent="0.35">
      <c r="O957"/>
    </row>
    <row r="958" spans="15:15" x14ac:dyDescent="0.35">
      <c r="O958"/>
    </row>
    <row r="959" spans="15:15" x14ac:dyDescent="0.35">
      <c r="O959"/>
    </row>
    <row r="960" spans="15:15" x14ac:dyDescent="0.35">
      <c r="O960"/>
    </row>
    <row r="961" spans="15:15" x14ac:dyDescent="0.35">
      <c r="O961"/>
    </row>
    <row r="962" spans="15:15" x14ac:dyDescent="0.35">
      <c r="O962"/>
    </row>
    <row r="963" spans="15:15" x14ac:dyDescent="0.35">
      <c r="O963"/>
    </row>
    <row r="964" spans="15:15" x14ac:dyDescent="0.35">
      <c r="O964"/>
    </row>
    <row r="965" spans="15:15" x14ac:dyDescent="0.35">
      <c r="O965"/>
    </row>
    <row r="966" spans="15:15" x14ac:dyDescent="0.35">
      <c r="O966"/>
    </row>
    <row r="967" spans="15:15" x14ac:dyDescent="0.35">
      <c r="O967"/>
    </row>
    <row r="968" spans="15:15" x14ac:dyDescent="0.35">
      <c r="O968"/>
    </row>
    <row r="969" spans="15:15" x14ac:dyDescent="0.35">
      <c r="O969"/>
    </row>
    <row r="970" spans="15:15" x14ac:dyDescent="0.35">
      <c r="O970"/>
    </row>
    <row r="971" spans="15:15" x14ac:dyDescent="0.35">
      <c r="O971"/>
    </row>
    <row r="972" spans="15:15" x14ac:dyDescent="0.35">
      <c r="O972"/>
    </row>
    <row r="973" spans="15:15" x14ac:dyDescent="0.35">
      <c r="O973"/>
    </row>
    <row r="974" spans="15:15" x14ac:dyDescent="0.35">
      <c r="O974"/>
    </row>
    <row r="975" spans="15:15" x14ac:dyDescent="0.35">
      <c r="O975"/>
    </row>
    <row r="976" spans="15:15" x14ac:dyDescent="0.35">
      <c r="O976"/>
    </row>
    <row r="977" spans="15:15" x14ac:dyDescent="0.35">
      <c r="O977"/>
    </row>
    <row r="978" spans="15:15" x14ac:dyDescent="0.35">
      <c r="O978"/>
    </row>
    <row r="979" spans="15:15" x14ac:dyDescent="0.35">
      <c r="O979"/>
    </row>
    <row r="980" spans="15:15" x14ac:dyDescent="0.35">
      <c r="O980"/>
    </row>
    <row r="981" spans="15:15" x14ac:dyDescent="0.35">
      <c r="O981"/>
    </row>
    <row r="982" spans="15:15" x14ac:dyDescent="0.35">
      <c r="O982"/>
    </row>
    <row r="983" spans="15:15" x14ac:dyDescent="0.35">
      <c r="O983"/>
    </row>
    <row r="984" spans="15:15" x14ac:dyDescent="0.35">
      <c r="O984"/>
    </row>
    <row r="985" spans="15:15" x14ac:dyDescent="0.35">
      <c r="O985"/>
    </row>
    <row r="986" spans="15:15" x14ac:dyDescent="0.35">
      <c r="O986"/>
    </row>
    <row r="987" spans="15:15" x14ac:dyDescent="0.35">
      <c r="O987"/>
    </row>
    <row r="988" spans="15:15" x14ac:dyDescent="0.35">
      <c r="O988"/>
    </row>
    <row r="989" spans="15:15" x14ac:dyDescent="0.35">
      <c r="O989"/>
    </row>
    <row r="990" spans="15:15" x14ac:dyDescent="0.35">
      <c r="O990"/>
    </row>
    <row r="991" spans="15:15" x14ac:dyDescent="0.35">
      <c r="O991"/>
    </row>
    <row r="992" spans="15:15" x14ac:dyDescent="0.35">
      <c r="O992"/>
    </row>
    <row r="993" spans="15:15" x14ac:dyDescent="0.35">
      <c r="O993"/>
    </row>
    <row r="994" spans="15:15" x14ac:dyDescent="0.35">
      <c r="O994"/>
    </row>
    <row r="995" spans="15:15" x14ac:dyDescent="0.35">
      <c r="O995"/>
    </row>
    <row r="996" spans="15:15" x14ac:dyDescent="0.35">
      <c r="O996"/>
    </row>
    <row r="997" spans="15:15" x14ac:dyDescent="0.35">
      <c r="O997"/>
    </row>
    <row r="998" spans="15:15" x14ac:dyDescent="0.35">
      <c r="O998"/>
    </row>
    <row r="999" spans="15:15" x14ac:dyDescent="0.35">
      <c r="O999"/>
    </row>
    <row r="1000" spans="15:15" x14ac:dyDescent="0.35">
      <c r="O1000"/>
    </row>
    <row r="1001" spans="15:15" x14ac:dyDescent="0.35">
      <c r="O1001"/>
    </row>
    <row r="1002" spans="15:15" x14ac:dyDescent="0.35">
      <c r="O1002"/>
    </row>
    <row r="1003" spans="15:15" x14ac:dyDescent="0.35">
      <c r="O1003"/>
    </row>
    <row r="1004" spans="15:15" x14ac:dyDescent="0.35">
      <c r="O1004"/>
    </row>
    <row r="1005" spans="15:15" x14ac:dyDescent="0.35">
      <c r="O1005"/>
    </row>
    <row r="1006" spans="15:15" x14ac:dyDescent="0.35">
      <c r="O1006"/>
    </row>
    <row r="1007" spans="15:15" x14ac:dyDescent="0.35">
      <c r="O1007"/>
    </row>
    <row r="1008" spans="15:15" x14ac:dyDescent="0.35">
      <c r="O1008"/>
    </row>
    <row r="1009" spans="15:15" x14ac:dyDescent="0.35">
      <c r="O1009"/>
    </row>
    <row r="1010" spans="15:15" x14ac:dyDescent="0.35">
      <c r="O1010"/>
    </row>
    <row r="1011" spans="15:15" x14ac:dyDescent="0.35">
      <c r="O1011"/>
    </row>
    <row r="1012" spans="15:15" x14ac:dyDescent="0.35">
      <c r="O1012"/>
    </row>
    <row r="1013" spans="15:15" x14ac:dyDescent="0.35">
      <c r="O1013"/>
    </row>
    <row r="1014" spans="15:15" x14ac:dyDescent="0.35">
      <c r="O1014"/>
    </row>
    <row r="1015" spans="15:15" x14ac:dyDescent="0.35">
      <c r="O1015"/>
    </row>
    <row r="1016" spans="15:15" x14ac:dyDescent="0.35">
      <c r="O1016"/>
    </row>
    <row r="1017" spans="15:15" x14ac:dyDescent="0.35">
      <c r="O1017"/>
    </row>
    <row r="1018" spans="15:15" x14ac:dyDescent="0.35">
      <c r="O1018"/>
    </row>
    <row r="1019" spans="15:15" x14ac:dyDescent="0.35">
      <c r="O1019"/>
    </row>
    <row r="1020" spans="15:15" x14ac:dyDescent="0.35">
      <c r="O1020"/>
    </row>
    <row r="1021" spans="15:15" x14ac:dyDescent="0.35">
      <c r="O1021"/>
    </row>
    <row r="1022" spans="15:15" x14ac:dyDescent="0.35">
      <c r="O1022"/>
    </row>
    <row r="1023" spans="15:15" x14ac:dyDescent="0.35">
      <c r="O1023"/>
    </row>
    <row r="1024" spans="15:15" x14ac:dyDescent="0.35">
      <c r="O1024"/>
    </row>
    <row r="1025" spans="15:15" x14ac:dyDescent="0.35">
      <c r="O1025"/>
    </row>
    <row r="1026" spans="15:15" x14ac:dyDescent="0.35">
      <c r="O1026"/>
    </row>
    <row r="1027" spans="15:15" x14ac:dyDescent="0.35">
      <c r="O1027"/>
    </row>
    <row r="1028" spans="15:15" x14ac:dyDescent="0.35">
      <c r="O1028"/>
    </row>
    <row r="1029" spans="15:15" x14ac:dyDescent="0.35">
      <c r="O1029"/>
    </row>
    <row r="1030" spans="15:15" x14ac:dyDescent="0.35">
      <c r="O1030"/>
    </row>
    <row r="1031" spans="15:15" x14ac:dyDescent="0.35">
      <c r="O1031"/>
    </row>
    <row r="1032" spans="15:15" x14ac:dyDescent="0.35">
      <c r="O1032"/>
    </row>
    <row r="1033" spans="15:15" x14ac:dyDescent="0.35">
      <c r="O1033"/>
    </row>
    <row r="1034" spans="15:15" x14ac:dyDescent="0.35">
      <c r="O1034"/>
    </row>
    <row r="1035" spans="15:15" x14ac:dyDescent="0.35">
      <c r="O1035"/>
    </row>
    <row r="1036" spans="15:15" x14ac:dyDescent="0.35">
      <c r="O1036"/>
    </row>
    <row r="1037" spans="15:15" x14ac:dyDescent="0.35">
      <c r="O1037"/>
    </row>
    <row r="1038" spans="15:15" x14ac:dyDescent="0.35">
      <c r="O1038"/>
    </row>
    <row r="1039" spans="15:15" x14ac:dyDescent="0.35">
      <c r="O1039"/>
    </row>
    <row r="1040" spans="15:15" x14ac:dyDescent="0.35">
      <c r="O1040"/>
    </row>
    <row r="1041" spans="15:15" x14ac:dyDescent="0.35">
      <c r="O1041"/>
    </row>
    <row r="1042" spans="15:15" x14ac:dyDescent="0.35">
      <c r="O1042"/>
    </row>
    <row r="1043" spans="15:15" x14ac:dyDescent="0.35">
      <c r="O1043"/>
    </row>
    <row r="1044" spans="15:15" x14ac:dyDescent="0.35">
      <c r="O1044"/>
    </row>
    <row r="1045" spans="15:15" x14ac:dyDescent="0.35">
      <c r="O1045"/>
    </row>
    <row r="1046" spans="15:15" x14ac:dyDescent="0.35">
      <c r="O1046"/>
    </row>
    <row r="1047" spans="15:15" x14ac:dyDescent="0.35">
      <c r="O1047"/>
    </row>
    <row r="1048" spans="15:15" x14ac:dyDescent="0.35">
      <c r="O1048"/>
    </row>
    <row r="1049" spans="15:15" x14ac:dyDescent="0.35">
      <c r="O1049"/>
    </row>
    <row r="1050" spans="15:15" x14ac:dyDescent="0.35">
      <c r="O1050"/>
    </row>
    <row r="1051" spans="15:15" x14ac:dyDescent="0.35">
      <c r="O1051"/>
    </row>
    <row r="1052" spans="15:15" x14ac:dyDescent="0.35">
      <c r="O1052"/>
    </row>
    <row r="1053" spans="15:15" x14ac:dyDescent="0.35">
      <c r="O1053"/>
    </row>
    <row r="1054" spans="15:15" x14ac:dyDescent="0.35">
      <c r="O1054"/>
    </row>
    <row r="1055" spans="15:15" x14ac:dyDescent="0.35">
      <c r="O1055"/>
    </row>
    <row r="1056" spans="15:15" x14ac:dyDescent="0.35">
      <c r="O1056"/>
    </row>
    <row r="1057" spans="15:15" x14ac:dyDescent="0.35">
      <c r="O1057"/>
    </row>
    <row r="1058" spans="15:15" x14ac:dyDescent="0.35">
      <c r="O1058"/>
    </row>
    <row r="1059" spans="15:15" x14ac:dyDescent="0.35">
      <c r="O1059"/>
    </row>
    <row r="1060" spans="15:15" x14ac:dyDescent="0.35">
      <c r="O1060"/>
    </row>
    <row r="1061" spans="15:15" x14ac:dyDescent="0.35">
      <c r="O1061"/>
    </row>
    <row r="1062" spans="15:15" x14ac:dyDescent="0.35">
      <c r="O1062"/>
    </row>
    <row r="1063" spans="15:15" x14ac:dyDescent="0.35">
      <c r="O1063"/>
    </row>
    <row r="1064" spans="15:15" x14ac:dyDescent="0.35">
      <c r="O1064"/>
    </row>
    <row r="1065" spans="15:15" x14ac:dyDescent="0.35">
      <c r="O1065"/>
    </row>
    <row r="1066" spans="15:15" x14ac:dyDescent="0.35">
      <c r="O1066"/>
    </row>
    <row r="1067" spans="15:15" x14ac:dyDescent="0.35">
      <c r="O1067"/>
    </row>
    <row r="1068" spans="15:15" x14ac:dyDescent="0.35">
      <c r="O1068"/>
    </row>
    <row r="1069" spans="15:15" x14ac:dyDescent="0.35">
      <c r="O1069"/>
    </row>
    <row r="1070" spans="15:15" x14ac:dyDescent="0.35">
      <c r="O1070"/>
    </row>
    <row r="1071" spans="15:15" x14ac:dyDescent="0.35">
      <c r="O1071"/>
    </row>
    <row r="1072" spans="15:15" x14ac:dyDescent="0.35">
      <c r="O1072"/>
    </row>
    <row r="1073" spans="15:15" x14ac:dyDescent="0.35">
      <c r="O1073"/>
    </row>
    <row r="1074" spans="15:15" x14ac:dyDescent="0.35">
      <c r="O1074"/>
    </row>
    <row r="1075" spans="15:15" x14ac:dyDescent="0.35">
      <c r="O1075"/>
    </row>
    <row r="1076" spans="15:15" x14ac:dyDescent="0.35">
      <c r="O1076"/>
    </row>
    <row r="1077" spans="15:15" x14ac:dyDescent="0.35">
      <c r="O1077"/>
    </row>
    <row r="1078" spans="15:15" x14ac:dyDescent="0.35">
      <c r="O1078"/>
    </row>
    <row r="1079" spans="15:15" x14ac:dyDescent="0.35">
      <c r="O1079"/>
    </row>
    <row r="1080" spans="15:15" x14ac:dyDescent="0.35">
      <c r="O1080"/>
    </row>
    <row r="1081" spans="15:15" x14ac:dyDescent="0.35">
      <c r="O1081"/>
    </row>
    <row r="1082" spans="15:15" x14ac:dyDescent="0.35">
      <c r="O1082"/>
    </row>
    <row r="1083" spans="15:15" x14ac:dyDescent="0.35">
      <c r="O1083"/>
    </row>
    <row r="1084" spans="15:15" x14ac:dyDescent="0.35">
      <c r="O1084"/>
    </row>
    <row r="1085" spans="15:15" x14ac:dyDescent="0.35">
      <c r="O1085"/>
    </row>
    <row r="1086" spans="15:15" x14ac:dyDescent="0.35">
      <c r="O1086"/>
    </row>
    <row r="1087" spans="15:15" x14ac:dyDescent="0.35">
      <c r="O1087"/>
    </row>
    <row r="1088" spans="15:15" x14ac:dyDescent="0.35">
      <c r="O1088"/>
    </row>
    <row r="1089" spans="15:15" x14ac:dyDescent="0.35">
      <c r="O1089"/>
    </row>
    <row r="1090" spans="15:15" x14ac:dyDescent="0.35">
      <c r="O1090"/>
    </row>
    <row r="1091" spans="15:15" x14ac:dyDescent="0.35">
      <c r="O1091"/>
    </row>
    <row r="1092" spans="15:15" x14ac:dyDescent="0.35">
      <c r="O1092"/>
    </row>
    <row r="1093" spans="15:15" x14ac:dyDescent="0.35">
      <c r="O1093"/>
    </row>
    <row r="1094" spans="15:15" x14ac:dyDescent="0.35">
      <c r="O1094"/>
    </row>
    <row r="1095" spans="15:15" x14ac:dyDescent="0.35">
      <c r="O1095"/>
    </row>
    <row r="1096" spans="15:15" x14ac:dyDescent="0.35">
      <c r="O1096"/>
    </row>
    <row r="1097" spans="15:15" x14ac:dyDescent="0.35">
      <c r="O1097"/>
    </row>
    <row r="1098" spans="15:15" x14ac:dyDescent="0.35">
      <c r="O1098"/>
    </row>
    <row r="1099" spans="15:15" x14ac:dyDescent="0.35">
      <c r="O1099"/>
    </row>
    <row r="1100" spans="15:15" x14ac:dyDescent="0.35">
      <c r="O1100"/>
    </row>
    <row r="1101" spans="15:15" x14ac:dyDescent="0.35">
      <c r="O1101"/>
    </row>
    <row r="1102" spans="15:15" x14ac:dyDescent="0.35">
      <c r="O1102"/>
    </row>
    <row r="1103" spans="15:15" x14ac:dyDescent="0.35">
      <c r="O1103"/>
    </row>
    <row r="1104" spans="15:15" x14ac:dyDescent="0.35">
      <c r="O1104"/>
    </row>
    <row r="1105" spans="15:15" x14ac:dyDescent="0.35">
      <c r="O1105"/>
    </row>
    <row r="1106" spans="15:15" x14ac:dyDescent="0.35">
      <c r="O1106"/>
    </row>
    <row r="1107" spans="15:15" x14ac:dyDescent="0.35">
      <c r="O1107"/>
    </row>
    <row r="1108" spans="15:15" x14ac:dyDescent="0.35">
      <c r="O1108"/>
    </row>
    <row r="1109" spans="15:15" x14ac:dyDescent="0.35">
      <c r="O1109"/>
    </row>
    <row r="1110" spans="15:15" x14ac:dyDescent="0.35">
      <c r="O1110"/>
    </row>
    <row r="1111" spans="15:15" x14ac:dyDescent="0.35">
      <c r="O1111"/>
    </row>
    <row r="1112" spans="15:15" x14ac:dyDescent="0.35">
      <c r="O1112"/>
    </row>
    <row r="1113" spans="15:15" x14ac:dyDescent="0.35">
      <c r="O1113"/>
    </row>
    <row r="1114" spans="15:15" x14ac:dyDescent="0.35">
      <c r="O1114"/>
    </row>
    <row r="1115" spans="15:15" x14ac:dyDescent="0.35">
      <c r="O1115"/>
    </row>
    <row r="1116" spans="15:15" x14ac:dyDescent="0.35">
      <c r="O1116"/>
    </row>
    <row r="1117" spans="15:15" x14ac:dyDescent="0.35">
      <c r="O1117"/>
    </row>
    <row r="1118" spans="15:15" x14ac:dyDescent="0.35">
      <c r="O1118"/>
    </row>
    <row r="1119" spans="15:15" x14ac:dyDescent="0.35">
      <c r="O1119"/>
    </row>
    <row r="1120" spans="15:15" x14ac:dyDescent="0.35">
      <c r="O1120"/>
    </row>
    <row r="1121" spans="15:15" x14ac:dyDescent="0.35">
      <c r="O1121"/>
    </row>
    <row r="1122" spans="15:15" x14ac:dyDescent="0.35">
      <c r="O1122"/>
    </row>
    <row r="1123" spans="15:15" x14ac:dyDescent="0.35">
      <c r="O1123"/>
    </row>
    <row r="1124" spans="15:15" x14ac:dyDescent="0.35">
      <c r="O1124"/>
    </row>
    <row r="1125" spans="15:15" x14ac:dyDescent="0.35">
      <c r="O1125"/>
    </row>
    <row r="1126" spans="15:15" x14ac:dyDescent="0.35">
      <c r="O1126"/>
    </row>
    <row r="1127" spans="15:15" x14ac:dyDescent="0.35">
      <c r="O1127"/>
    </row>
    <row r="1128" spans="15:15" x14ac:dyDescent="0.35">
      <c r="O1128"/>
    </row>
    <row r="1129" spans="15:15" x14ac:dyDescent="0.35">
      <c r="O1129"/>
    </row>
    <row r="1130" spans="15:15" x14ac:dyDescent="0.35">
      <c r="O1130"/>
    </row>
    <row r="1131" spans="15:15" x14ac:dyDescent="0.35">
      <c r="O1131"/>
    </row>
    <row r="1132" spans="15:15" x14ac:dyDescent="0.35">
      <c r="O1132"/>
    </row>
    <row r="1133" spans="15:15" x14ac:dyDescent="0.35">
      <c r="O1133"/>
    </row>
    <row r="1134" spans="15:15" x14ac:dyDescent="0.35">
      <c r="O1134"/>
    </row>
    <row r="1135" spans="15:15" x14ac:dyDescent="0.35">
      <c r="O1135"/>
    </row>
    <row r="1136" spans="15:15" x14ac:dyDescent="0.35">
      <c r="O1136"/>
    </row>
    <row r="1137" spans="15:15" x14ac:dyDescent="0.35">
      <c r="O1137"/>
    </row>
    <row r="1138" spans="15:15" x14ac:dyDescent="0.35">
      <c r="O1138"/>
    </row>
    <row r="1139" spans="15:15" x14ac:dyDescent="0.35">
      <c r="O1139"/>
    </row>
    <row r="1140" spans="15:15" x14ac:dyDescent="0.35">
      <c r="O1140"/>
    </row>
    <row r="1141" spans="15:15" x14ac:dyDescent="0.35">
      <c r="O1141"/>
    </row>
    <row r="1142" spans="15:15" x14ac:dyDescent="0.35">
      <c r="O1142"/>
    </row>
    <row r="1143" spans="15:15" x14ac:dyDescent="0.35">
      <c r="O1143"/>
    </row>
    <row r="1144" spans="15:15" x14ac:dyDescent="0.35">
      <c r="O1144"/>
    </row>
    <row r="1145" spans="15:15" x14ac:dyDescent="0.35">
      <c r="O1145"/>
    </row>
    <row r="1146" spans="15:15" x14ac:dyDescent="0.35">
      <c r="O1146"/>
    </row>
    <row r="1147" spans="15:15" x14ac:dyDescent="0.35">
      <c r="O1147"/>
    </row>
    <row r="1148" spans="15:15" x14ac:dyDescent="0.35">
      <c r="O1148"/>
    </row>
    <row r="1149" spans="15:15" x14ac:dyDescent="0.35">
      <c r="O1149"/>
    </row>
    <row r="1150" spans="15:15" x14ac:dyDescent="0.35">
      <c r="O1150"/>
    </row>
    <row r="1151" spans="15:15" x14ac:dyDescent="0.35">
      <c r="O1151"/>
    </row>
    <row r="1152" spans="15:15" x14ac:dyDescent="0.35">
      <c r="O1152"/>
    </row>
    <row r="1153" spans="15:15" x14ac:dyDescent="0.35">
      <c r="O1153"/>
    </row>
    <row r="1154" spans="15:15" x14ac:dyDescent="0.35">
      <c r="O1154"/>
    </row>
    <row r="1155" spans="15:15" x14ac:dyDescent="0.35">
      <c r="O1155"/>
    </row>
    <row r="1156" spans="15:15" x14ac:dyDescent="0.35">
      <c r="O1156"/>
    </row>
    <row r="1157" spans="15:15" x14ac:dyDescent="0.35">
      <c r="O1157"/>
    </row>
    <row r="1158" spans="15:15" x14ac:dyDescent="0.35">
      <c r="O1158"/>
    </row>
    <row r="1159" spans="15:15" x14ac:dyDescent="0.35">
      <c r="O1159"/>
    </row>
    <row r="1160" spans="15:15" x14ac:dyDescent="0.35">
      <c r="O1160"/>
    </row>
    <row r="1161" spans="15:15" x14ac:dyDescent="0.35">
      <c r="O1161"/>
    </row>
    <row r="1162" spans="15:15" x14ac:dyDescent="0.35">
      <c r="O1162"/>
    </row>
    <row r="1163" spans="15:15" x14ac:dyDescent="0.35">
      <c r="O1163"/>
    </row>
    <row r="1164" spans="15:15" x14ac:dyDescent="0.35">
      <c r="O1164"/>
    </row>
    <row r="1165" spans="15:15" x14ac:dyDescent="0.35">
      <c r="O1165"/>
    </row>
    <row r="1166" spans="15:15" x14ac:dyDescent="0.35">
      <c r="O1166"/>
    </row>
    <row r="1167" spans="15:15" x14ac:dyDescent="0.35">
      <c r="O1167"/>
    </row>
    <row r="1168" spans="15:15" x14ac:dyDescent="0.35">
      <c r="O1168"/>
    </row>
    <row r="1169" spans="15:15" x14ac:dyDescent="0.35">
      <c r="O1169"/>
    </row>
    <row r="1170" spans="15:15" x14ac:dyDescent="0.35">
      <c r="O1170"/>
    </row>
    <row r="1171" spans="15:15" x14ac:dyDescent="0.35">
      <c r="O1171"/>
    </row>
    <row r="1172" spans="15:15" x14ac:dyDescent="0.35">
      <c r="O1172"/>
    </row>
    <row r="1173" spans="15:15" x14ac:dyDescent="0.35">
      <c r="O1173"/>
    </row>
    <row r="1174" spans="15:15" x14ac:dyDescent="0.35">
      <c r="O1174"/>
    </row>
    <row r="1175" spans="15:15" x14ac:dyDescent="0.35">
      <c r="O1175"/>
    </row>
    <row r="1176" spans="15:15" x14ac:dyDescent="0.35">
      <c r="O1176"/>
    </row>
    <row r="1177" spans="15:15" x14ac:dyDescent="0.35">
      <c r="O1177"/>
    </row>
    <row r="1178" spans="15:15" x14ac:dyDescent="0.35">
      <c r="O1178"/>
    </row>
    <row r="1179" spans="15:15" x14ac:dyDescent="0.35">
      <c r="O1179"/>
    </row>
    <row r="1180" spans="15:15" x14ac:dyDescent="0.35">
      <c r="O1180"/>
    </row>
    <row r="1181" spans="15:15" x14ac:dyDescent="0.35">
      <c r="O1181"/>
    </row>
    <row r="1182" spans="15:15" x14ac:dyDescent="0.35">
      <c r="O1182"/>
    </row>
    <row r="1183" spans="15:15" x14ac:dyDescent="0.35">
      <c r="O1183"/>
    </row>
    <row r="1184" spans="15:15" x14ac:dyDescent="0.35">
      <c r="O1184"/>
    </row>
    <row r="1185" spans="15:15" x14ac:dyDescent="0.35">
      <c r="O1185"/>
    </row>
    <row r="1186" spans="15:15" x14ac:dyDescent="0.35">
      <c r="O1186"/>
    </row>
    <row r="1187" spans="15:15" x14ac:dyDescent="0.35">
      <c r="O1187"/>
    </row>
    <row r="1188" spans="15:15" x14ac:dyDescent="0.35">
      <c r="O1188"/>
    </row>
    <row r="1189" spans="15:15" x14ac:dyDescent="0.35">
      <c r="O1189"/>
    </row>
    <row r="1190" spans="15:15" x14ac:dyDescent="0.35">
      <c r="O1190"/>
    </row>
    <row r="1191" spans="15:15" x14ac:dyDescent="0.35">
      <c r="O1191"/>
    </row>
    <row r="1192" spans="15:15" x14ac:dyDescent="0.35">
      <c r="O1192"/>
    </row>
    <row r="1193" spans="15:15" x14ac:dyDescent="0.35">
      <c r="O1193"/>
    </row>
    <row r="1194" spans="15:15" x14ac:dyDescent="0.35">
      <c r="O1194"/>
    </row>
    <row r="1195" spans="15:15" x14ac:dyDescent="0.35">
      <c r="O1195"/>
    </row>
    <row r="1196" spans="15:15" x14ac:dyDescent="0.35">
      <c r="O1196"/>
    </row>
    <row r="1197" spans="15:15" x14ac:dyDescent="0.35">
      <c r="O1197"/>
    </row>
    <row r="1198" spans="15:15" x14ac:dyDescent="0.35">
      <c r="O1198"/>
    </row>
    <row r="1199" spans="15:15" x14ac:dyDescent="0.35">
      <c r="O1199"/>
    </row>
    <row r="1200" spans="15:15" x14ac:dyDescent="0.35">
      <c r="O1200"/>
    </row>
    <row r="1201" spans="15:15" x14ac:dyDescent="0.35">
      <c r="O1201"/>
    </row>
    <row r="1202" spans="15:15" x14ac:dyDescent="0.35">
      <c r="O1202"/>
    </row>
    <row r="1203" spans="15:15" x14ac:dyDescent="0.35">
      <c r="O1203"/>
    </row>
    <row r="1204" spans="15:15" x14ac:dyDescent="0.35">
      <c r="O1204"/>
    </row>
    <row r="1205" spans="15:15" x14ac:dyDescent="0.35">
      <c r="O1205"/>
    </row>
    <row r="1206" spans="15:15" x14ac:dyDescent="0.35">
      <c r="O1206"/>
    </row>
    <row r="1207" spans="15:15" x14ac:dyDescent="0.35">
      <c r="O1207"/>
    </row>
    <row r="1208" spans="15:15" x14ac:dyDescent="0.35">
      <c r="O1208"/>
    </row>
    <row r="1209" spans="15:15" x14ac:dyDescent="0.35">
      <c r="O1209"/>
    </row>
    <row r="1210" spans="15:15" x14ac:dyDescent="0.35">
      <c r="O1210"/>
    </row>
    <row r="1211" spans="15:15" x14ac:dyDescent="0.35">
      <c r="O1211"/>
    </row>
    <row r="1212" spans="15:15" x14ac:dyDescent="0.35">
      <c r="O1212"/>
    </row>
    <row r="1213" spans="15:15" x14ac:dyDescent="0.35">
      <c r="O1213"/>
    </row>
    <row r="1214" spans="15:15" x14ac:dyDescent="0.35">
      <c r="O1214"/>
    </row>
    <row r="1215" spans="15:15" x14ac:dyDescent="0.35">
      <c r="O1215"/>
    </row>
    <row r="1216" spans="15:15" x14ac:dyDescent="0.35">
      <c r="O1216"/>
    </row>
    <row r="1217" spans="15:15" x14ac:dyDescent="0.35">
      <c r="O1217"/>
    </row>
    <row r="1218" spans="15:15" x14ac:dyDescent="0.35">
      <c r="O1218"/>
    </row>
    <row r="1219" spans="15:15" x14ac:dyDescent="0.35">
      <c r="O1219"/>
    </row>
    <row r="1220" spans="15:15" x14ac:dyDescent="0.35">
      <c r="O1220"/>
    </row>
    <row r="1221" spans="15:15" x14ac:dyDescent="0.35">
      <c r="O1221"/>
    </row>
    <row r="1222" spans="15:15" x14ac:dyDescent="0.35">
      <c r="O1222"/>
    </row>
    <row r="1223" spans="15:15" x14ac:dyDescent="0.35">
      <c r="O1223"/>
    </row>
    <row r="1224" spans="15:15" x14ac:dyDescent="0.35">
      <c r="O1224"/>
    </row>
    <row r="1225" spans="15:15" x14ac:dyDescent="0.35">
      <c r="O1225"/>
    </row>
    <row r="1226" spans="15:15" x14ac:dyDescent="0.35">
      <c r="O1226"/>
    </row>
    <row r="1227" spans="15:15" x14ac:dyDescent="0.35">
      <c r="O1227"/>
    </row>
    <row r="1228" spans="15:15" x14ac:dyDescent="0.35">
      <c r="O1228"/>
    </row>
    <row r="1229" spans="15:15" x14ac:dyDescent="0.35">
      <c r="O1229"/>
    </row>
    <row r="1230" spans="15:15" x14ac:dyDescent="0.35">
      <c r="O1230"/>
    </row>
    <row r="1231" spans="15:15" x14ac:dyDescent="0.35">
      <c r="O1231"/>
    </row>
    <row r="1232" spans="15:15" x14ac:dyDescent="0.35">
      <c r="O1232"/>
    </row>
    <row r="1233" spans="15:15" x14ac:dyDescent="0.35">
      <c r="O1233"/>
    </row>
    <row r="1234" spans="15:15" x14ac:dyDescent="0.35">
      <c r="O1234"/>
    </row>
    <row r="1235" spans="15:15" x14ac:dyDescent="0.35">
      <c r="O1235"/>
    </row>
    <row r="1236" spans="15:15" x14ac:dyDescent="0.35">
      <c r="O1236"/>
    </row>
    <row r="1237" spans="15:15" x14ac:dyDescent="0.35">
      <c r="O1237"/>
    </row>
    <row r="1238" spans="15:15" x14ac:dyDescent="0.35">
      <c r="O1238"/>
    </row>
    <row r="1239" spans="15:15" x14ac:dyDescent="0.35">
      <c r="O1239"/>
    </row>
    <row r="1240" spans="15:15" x14ac:dyDescent="0.35">
      <c r="O1240"/>
    </row>
    <row r="1241" spans="15:15" x14ac:dyDescent="0.35">
      <c r="O1241"/>
    </row>
    <row r="1242" spans="15:15" x14ac:dyDescent="0.35">
      <c r="O1242"/>
    </row>
    <row r="1243" spans="15:15" x14ac:dyDescent="0.35">
      <c r="O1243"/>
    </row>
    <row r="1244" spans="15:15" x14ac:dyDescent="0.35">
      <c r="O1244"/>
    </row>
    <row r="1245" spans="15:15" x14ac:dyDescent="0.35">
      <c r="O1245"/>
    </row>
    <row r="1246" spans="15:15" x14ac:dyDescent="0.35">
      <c r="O1246"/>
    </row>
    <row r="1247" spans="15:15" x14ac:dyDescent="0.35">
      <c r="O1247"/>
    </row>
    <row r="1248" spans="15:15" x14ac:dyDescent="0.35">
      <c r="O1248"/>
    </row>
    <row r="1249" spans="15:15" x14ac:dyDescent="0.35">
      <c r="O1249"/>
    </row>
    <row r="1250" spans="15:15" x14ac:dyDescent="0.35">
      <c r="O1250"/>
    </row>
    <row r="1251" spans="15:15" x14ac:dyDescent="0.35">
      <c r="O1251"/>
    </row>
    <row r="1252" spans="15:15" x14ac:dyDescent="0.35">
      <c r="O1252"/>
    </row>
    <row r="1253" spans="15:15" x14ac:dyDescent="0.35">
      <c r="O1253"/>
    </row>
    <row r="1254" spans="15:15" x14ac:dyDescent="0.35">
      <c r="O1254"/>
    </row>
    <row r="1255" spans="15:15" x14ac:dyDescent="0.35">
      <c r="O1255"/>
    </row>
    <row r="1256" spans="15:15" x14ac:dyDescent="0.35">
      <c r="O1256"/>
    </row>
    <row r="1257" spans="15:15" x14ac:dyDescent="0.35">
      <c r="O1257"/>
    </row>
    <row r="1258" spans="15:15" x14ac:dyDescent="0.35">
      <c r="O1258"/>
    </row>
    <row r="1259" spans="15:15" x14ac:dyDescent="0.35">
      <c r="O1259"/>
    </row>
    <row r="1260" spans="15:15" x14ac:dyDescent="0.35">
      <c r="O1260"/>
    </row>
    <row r="1261" spans="15:15" x14ac:dyDescent="0.35">
      <c r="O1261"/>
    </row>
    <row r="1262" spans="15:15" x14ac:dyDescent="0.35">
      <c r="O1262"/>
    </row>
    <row r="1263" spans="15:15" x14ac:dyDescent="0.35">
      <c r="O1263"/>
    </row>
    <row r="1264" spans="15:15" x14ac:dyDescent="0.35">
      <c r="O1264"/>
    </row>
    <row r="1265" spans="15:15" x14ac:dyDescent="0.35">
      <c r="O1265"/>
    </row>
    <row r="1266" spans="15:15" x14ac:dyDescent="0.35">
      <c r="O1266"/>
    </row>
    <row r="1267" spans="15:15" x14ac:dyDescent="0.35">
      <c r="O1267"/>
    </row>
    <row r="1268" spans="15:15" x14ac:dyDescent="0.35">
      <c r="O1268"/>
    </row>
    <row r="1269" spans="15:15" x14ac:dyDescent="0.35">
      <c r="O1269"/>
    </row>
    <row r="1270" spans="15:15" x14ac:dyDescent="0.35">
      <c r="O1270"/>
    </row>
    <row r="1271" spans="15:15" x14ac:dyDescent="0.35">
      <c r="O1271"/>
    </row>
    <row r="1272" spans="15:15" x14ac:dyDescent="0.35">
      <c r="O1272"/>
    </row>
    <row r="1273" spans="15:15" x14ac:dyDescent="0.35">
      <c r="O1273"/>
    </row>
    <row r="1274" spans="15:15" x14ac:dyDescent="0.35">
      <c r="O1274"/>
    </row>
    <row r="1275" spans="15:15" x14ac:dyDescent="0.35">
      <c r="O1275"/>
    </row>
    <row r="1276" spans="15:15" x14ac:dyDescent="0.35">
      <c r="O1276"/>
    </row>
    <row r="1277" spans="15:15" x14ac:dyDescent="0.35">
      <c r="O1277"/>
    </row>
    <row r="1278" spans="15:15" x14ac:dyDescent="0.35">
      <c r="O1278"/>
    </row>
    <row r="1279" spans="15:15" x14ac:dyDescent="0.35">
      <c r="O1279"/>
    </row>
    <row r="1280" spans="15:15" x14ac:dyDescent="0.35">
      <c r="O1280"/>
    </row>
    <row r="1281" spans="15:15" x14ac:dyDescent="0.35">
      <c r="O1281"/>
    </row>
    <row r="1282" spans="15:15" x14ac:dyDescent="0.35">
      <c r="O1282"/>
    </row>
    <row r="1283" spans="15:15" x14ac:dyDescent="0.35">
      <c r="O1283"/>
    </row>
    <row r="1284" spans="15:15" x14ac:dyDescent="0.35">
      <c r="O1284"/>
    </row>
    <row r="1285" spans="15:15" x14ac:dyDescent="0.35">
      <c r="O1285"/>
    </row>
    <row r="1286" spans="15:15" x14ac:dyDescent="0.35">
      <c r="O1286"/>
    </row>
    <row r="1287" spans="15:15" x14ac:dyDescent="0.35">
      <c r="O1287"/>
    </row>
    <row r="1288" spans="15:15" x14ac:dyDescent="0.35">
      <c r="O1288"/>
    </row>
    <row r="1289" spans="15:15" x14ac:dyDescent="0.35">
      <c r="O1289"/>
    </row>
    <row r="1290" spans="15:15" x14ac:dyDescent="0.35">
      <c r="O1290"/>
    </row>
    <row r="1291" spans="15:15" x14ac:dyDescent="0.35">
      <c r="O1291"/>
    </row>
    <row r="1292" spans="15:15" x14ac:dyDescent="0.35">
      <c r="O1292"/>
    </row>
    <row r="1293" spans="15:15" x14ac:dyDescent="0.35">
      <c r="O1293"/>
    </row>
    <row r="1294" spans="15:15" x14ac:dyDescent="0.35">
      <c r="O1294"/>
    </row>
    <row r="1295" spans="15:15" x14ac:dyDescent="0.35">
      <c r="O1295"/>
    </row>
    <row r="1296" spans="15:15" x14ac:dyDescent="0.35">
      <c r="O1296"/>
    </row>
    <row r="1297" spans="15:15" x14ac:dyDescent="0.35">
      <c r="O1297"/>
    </row>
    <row r="1298" spans="15:15" x14ac:dyDescent="0.35">
      <c r="O1298"/>
    </row>
    <row r="1299" spans="15:15" x14ac:dyDescent="0.35">
      <c r="O1299"/>
    </row>
    <row r="1300" spans="15:15" x14ac:dyDescent="0.35">
      <c r="O1300"/>
    </row>
    <row r="1301" spans="15:15" x14ac:dyDescent="0.35">
      <c r="O1301"/>
    </row>
    <row r="1302" spans="15:15" x14ac:dyDescent="0.35">
      <c r="O1302"/>
    </row>
    <row r="1303" spans="15:15" x14ac:dyDescent="0.35">
      <c r="O1303"/>
    </row>
    <row r="1304" spans="15:15" x14ac:dyDescent="0.35">
      <c r="O1304"/>
    </row>
    <row r="1305" spans="15:15" x14ac:dyDescent="0.35">
      <c r="O1305"/>
    </row>
    <row r="1306" spans="15:15" x14ac:dyDescent="0.35">
      <c r="O1306"/>
    </row>
    <row r="1307" spans="15:15" x14ac:dyDescent="0.35">
      <c r="O1307"/>
    </row>
    <row r="1308" spans="15:15" x14ac:dyDescent="0.35">
      <c r="O1308"/>
    </row>
    <row r="1309" spans="15:15" x14ac:dyDescent="0.35">
      <c r="O1309"/>
    </row>
    <row r="1310" spans="15:15" x14ac:dyDescent="0.35">
      <c r="O1310"/>
    </row>
    <row r="1311" spans="15:15" x14ac:dyDescent="0.35">
      <c r="O1311"/>
    </row>
    <row r="1312" spans="15:15" x14ac:dyDescent="0.35">
      <c r="O1312"/>
    </row>
    <row r="1313" spans="15:15" x14ac:dyDescent="0.35">
      <c r="O1313"/>
    </row>
    <row r="1314" spans="15:15" x14ac:dyDescent="0.35">
      <c r="O1314"/>
    </row>
    <row r="1315" spans="15:15" x14ac:dyDescent="0.35">
      <c r="O1315"/>
    </row>
    <row r="1316" spans="15:15" x14ac:dyDescent="0.35">
      <c r="O1316"/>
    </row>
    <row r="1317" spans="15:15" x14ac:dyDescent="0.35">
      <c r="O1317"/>
    </row>
    <row r="1318" spans="15:15" x14ac:dyDescent="0.35">
      <c r="O1318"/>
    </row>
    <row r="1319" spans="15:15" x14ac:dyDescent="0.35">
      <c r="O1319"/>
    </row>
    <row r="1320" spans="15:15" x14ac:dyDescent="0.35">
      <c r="O1320"/>
    </row>
    <row r="1321" spans="15:15" x14ac:dyDescent="0.35">
      <c r="O1321"/>
    </row>
    <row r="1322" spans="15:15" x14ac:dyDescent="0.35">
      <c r="O1322"/>
    </row>
    <row r="1323" spans="15:15" x14ac:dyDescent="0.35">
      <c r="O1323"/>
    </row>
    <row r="1324" spans="15:15" x14ac:dyDescent="0.35">
      <c r="O1324"/>
    </row>
    <row r="1325" spans="15:15" x14ac:dyDescent="0.35">
      <c r="O1325"/>
    </row>
    <row r="1326" spans="15:15" x14ac:dyDescent="0.35">
      <c r="O1326"/>
    </row>
    <row r="1327" spans="15:15" x14ac:dyDescent="0.35">
      <c r="O1327"/>
    </row>
    <row r="1328" spans="15:15" x14ac:dyDescent="0.35">
      <c r="O1328"/>
    </row>
    <row r="1329" spans="15:15" x14ac:dyDescent="0.35">
      <c r="O1329"/>
    </row>
    <row r="1330" spans="15:15" x14ac:dyDescent="0.35">
      <c r="O1330"/>
    </row>
    <row r="1331" spans="15:15" x14ac:dyDescent="0.35">
      <c r="O1331"/>
    </row>
    <row r="1332" spans="15:15" x14ac:dyDescent="0.35">
      <c r="O1332"/>
    </row>
    <row r="1333" spans="15:15" x14ac:dyDescent="0.35">
      <c r="O1333"/>
    </row>
    <row r="1334" spans="15:15" x14ac:dyDescent="0.35">
      <c r="O1334"/>
    </row>
    <row r="1335" spans="15:15" x14ac:dyDescent="0.35">
      <c r="O1335"/>
    </row>
    <row r="1336" spans="15:15" x14ac:dyDescent="0.35">
      <c r="O1336"/>
    </row>
    <row r="1337" spans="15:15" x14ac:dyDescent="0.35">
      <c r="O1337"/>
    </row>
    <row r="1338" spans="15:15" x14ac:dyDescent="0.35">
      <c r="O1338"/>
    </row>
    <row r="1339" spans="15:15" x14ac:dyDescent="0.35">
      <c r="O1339"/>
    </row>
    <row r="1340" spans="15:15" x14ac:dyDescent="0.35">
      <c r="O1340"/>
    </row>
    <row r="1341" spans="15:15" x14ac:dyDescent="0.35">
      <c r="O1341"/>
    </row>
    <row r="1342" spans="15:15" x14ac:dyDescent="0.35">
      <c r="O1342"/>
    </row>
    <row r="1343" spans="15:15" x14ac:dyDescent="0.35">
      <c r="O1343"/>
    </row>
    <row r="1344" spans="15:15" x14ac:dyDescent="0.35">
      <c r="O1344"/>
    </row>
    <row r="1345" spans="15:15" x14ac:dyDescent="0.35">
      <c r="O1345"/>
    </row>
    <row r="1346" spans="15:15" x14ac:dyDescent="0.35">
      <c r="O1346"/>
    </row>
    <row r="1347" spans="15:15" x14ac:dyDescent="0.35">
      <c r="O1347"/>
    </row>
    <row r="1348" spans="15:15" x14ac:dyDescent="0.35">
      <c r="O1348"/>
    </row>
    <row r="1349" spans="15:15" x14ac:dyDescent="0.35">
      <c r="O1349"/>
    </row>
    <row r="1350" spans="15:15" x14ac:dyDescent="0.35">
      <c r="O1350"/>
    </row>
    <row r="1351" spans="15:15" x14ac:dyDescent="0.35">
      <c r="O1351"/>
    </row>
    <row r="1352" spans="15:15" x14ac:dyDescent="0.35">
      <c r="O1352"/>
    </row>
    <row r="1353" spans="15:15" x14ac:dyDescent="0.35">
      <c r="O1353"/>
    </row>
    <row r="1354" spans="15:15" x14ac:dyDescent="0.35">
      <c r="O1354"/>
    </row>
    <row r="1355" spans="15:15" x14ac:dyDescent="0.35">
      <c r="O1355"/>
    </row>
    <row r="1356" spans="15:15" x14ac:dyDescent="0.35">
      <c r="O1356"/>
    </row>
    <row r="1357" spans="15:15" x14ac:dyDescent="0.35">
      <c r="O1357"/>
    </row>
    <row r="1358" spans="15:15" x14ac:dyDescent="0.35">
      <c r="O1358"/>
    </row>
    <row r="1359" spans="15:15" x14ac:dyDescent="0.35">
      <c r="O1359"/>
    </row>
    <row r="1360" spans="15:15" x14ac:dyDescent="0.35">
      <c r="O1360"/>
    </row>
    <row r="1361" spans="15:15" x14ac:dyDescent="0.35">
      <c r="O1361"/>
    </row>
    <row r="1362" spans="15:15" x14ac:dyDescent="0.35">
      <c r="O1362"/>
    </row>
    <row r="1363" spans="15:15" x14ac:dyDescent="0.35">
      <c r="O1363"/>
    </row>
    <row r="1364" spans="15:15" x14ac:dyDescent="0.35">
      <c r="O1364"/>
    </row>
    <row r="1365" spans="15:15" x14ac:dyDescent="0.35">
      <c r="O1365"/>
    </row>
    <row r="1366" spans="15:15" x14ac:dyDescent="0.35">
      <c r="O1366"/>
    </row>
    <row r="1367" spans="15:15" x14ac:dyDescent="0.35">
      <c r="O1367"/>
    </row>
    <row r="1368" spans="15:15" x14ac:dyDescent="0.35">
      <c r="O1368"/>
    </row>
    <row r="1369" spans="15:15" x14ac:dyDescent="0.35">
      <c r="O1369"/>
    </row>
    <row r="1370" spans="15:15" x14ac:dyDescent="0.35">
      <c r="O1370"/>
    </row>
    <row r="1371" spans="15:15" x14ac:dyDescent="0.35">
      <c r="O1371"/>
    </row>
    <row r="1372" spans="15:15" x14ac:dyDescent="0.35">
      <c r="O1372"/>
    </row>
    <row r="1373" spans="15:15" x14ac:dyDescent="0.35">
      <c r="O1373"/>
    </row>
    <row r="1374" spans="15:15" x14ac:dyDescent="0.35">
      <c r="O1374"/>
    </row>
    <row r="1375" spans="15:15" x14ac:dyDescent="0.35">
      <c r="O1375"/>
    </row>
    <row r="1376" spans="15:15" x14ac:dyDescent="0.35">
      <c r="O1376"/>
    </row>
    <row r="1377" spans="15:15" x14ac:dyDescent="0.35">
      <c r="O1377"/>
    </row>
    <row r="1378" spans="15:15" x14ac:dyDescent="0.35">
      <c r="O1378"/>
    </row>
    <row r="1379" spans="15:15" x14ac:dyDescent="0.35">
      <c r="O1379"/>
    </row>
    <row r="1380" spans="15:15" x14ac:dyDescent="0.35">
      <c r="O1380"/>
    </row>
    <row r="1381" spans="15:15" x14ac:dyDescent="0.35">
      <c r="O1381"/>
    </row>
    <row r="1382" spans="15:15" x14ac:dyDescent="0.35">
      <c r="O1382"/>
    </row>
    <row r="1383" spans="15:15" x14ac:dyDescent="0.35">
      <c r="O1383"/>
    </row>
    <row r="1384" spans="15:15" x14ac:dyDescent="0.35">
      <c r="O1384"/>
    </row>
    <row r="1385" spans="15:15" x14ac:dyDescent="0.35">
      <c r="O1385"/>
    </row>
    <row r="1386" spans="15:15" x14ac:dyDescent="0.35">
      <c r="O1386"/>
    </row>
    <row r="1387" spans="15:15" x14ac:dyDescent="0.35">
      <c r="O1387"/>
    </row>
    <row r="1388" spans="15:15" x14ac:dyDescent="0.35">
      <c r="O1388"/>
    </row>
    <row r="1389" spans="15:15" x14ac:dyDescent="0.35">
      <c r="O1389"/>
    </row>
    <row r="1390" spans="15:15" x14ac:dyDescent="0.35">
      <c r="O1390"/>
    </row>
    <row r="1391" spans="15:15" x14ac:dyDescent="0.35">
      <c r="O1391"/>
    </row>
    <row r="1392" spans="15:15" x14ac:dyDescent="0.35">
      <c r="O1392"/>
    </row>
    <row r="1393" spans="15:15" x14ac:dyDescent="0.35">
      <c r="O1393"/>
    </row>
    <row r="1394" spans="15:15" x14ac:dyDescent="0.35">
      <c r="O1394"/>
    </row>
    <row r="1395" spans="15:15" x14ac:dyDescent="0.35">
      <c r="O1395"/>
    </row>
    <row r="1396" spans="15:15" x14ac:dyDescent="0.35">
      <c r="O1396"/>
    </row>
    <row r="1397" spans="15:15" x14ac:dyDescent="0.35">
      <c r="O1397"/>
    </row>
    <row r="1398" spans="15:15" x14ac:dyDescent="0.35">
      <c r="O1398"/>
    </row>
    <row r="1399" spans="15:15" x14ac:dyDescent="0.35">
      <c r="O1399"/>
    </row>
    <row r="1400" spans="15:15" x14ac:dyDescent="0.35">
      <c r="O1400"/>
    </row>
    <row r="1401" spans="15:15" x14ac:dyDescent="0.35">
      <c r="O1401"/>
    </row>
    <row r="1402" spans="15:15" x14ac:dyDescent="0.35">
      <c r="O1402"/>
    </row>
    <row r="1403" spans="15:15" x14ac:dyDescent="0.35">
      <c r="O1403"/>
    </row>
    <row r="1404" spans="15:15" x14ac:dyDescent="0.35">
      <c r="O1404"/>
    </row>
    <row r="1405" spans="15:15" x14ac:dyDescent="0.35">
      <c r="O1405"/>
    </row>
    <row r="1406" spans="15:15" x14ac:dyDescent="0.35">
      <c r="O1406"/>
    </row>
    <row r="1407" spans="15:15" x14ac:dyDescent="0.35">
      <c r="O1407"/>
    </row>
    <row r="1408" spans="15:15" x14ac:dyDescent="0.35">
      <c r="O1408"/>
    </row>
    <row r="1409" spans="15:15" x14ac:dyDescent="0.35">
      <c r="O1409"/>
    </row>
    <row r="1410" spans="15:15" x14ac:dyDescent="0.35">
      <c r="O1410"/>
    </row>
    <row r="1411" spans="15:15" x14ac:dyDescent="0.35">
      <c r="O1411"/>
    </row>
    <row r="1412" spans="15:15" x14ac:dyDescent="0.35">
      <c r="O1412"/>
    </row>
    <row r="1413" spans="15:15" x14ac:dyDescent="0.35">
      <c r="O1413"/>
    </row>
    <row r="1414" spans="15:15" x14ac:dyDescent="0.35">
      <c r="O1414"/>
    </row>
    <row r="1415" spans="15:15" x14ac:dyDescent="0.35">
      <c r="O1415"/>
    </row>
    <row r="1416" spans="15:15" x14ac:dyDescent="0.35">
      <c r="O1416"/>
    </row>
    <row r="1417" spans="15:15" x14ac:dyDescent="0.35">
      <c r="O1417"/>
    </row>
    <row r="1418" spans="15:15" x14ac:dyDescent="0.35">
      <c r="O1418"/>
    </row>
    <row r="1419" spans="15:15" x14ac:dyDescent="0.35">
      <c r="O1419"/>
    </row>
    <row r="1420" spans="15:15" x14ac:dyDescent="0.35">
      <c r="O1420"/>
    </row>
    <row r="1421" spans="15:15" x14ac:dyDescent="0.35">
      <c r="O1421"/>
    </row>
    <row r="1422" spans="15:15" x14ac:dyDescent="0.35">
      <c r="O1422"/>
    </row>
    <row r="1423" spans="15:15" x14ac:dyDescent="0.35">
      <c r="O1423"/>
    </row>
    <row r="1424" spans="15:15" x14ac:dyDescent="0.35">
      <c r="O1424"/>
    </row>
    <row r="1425" spans="15:15" x14ac:dyDescent="0.35">
      <c r="O1425"/>
    </row>
    <row r="1426" spans="15:15" x14ac:dyDescent="0.35">
      <c r="O1426"/>
    </row>
    <row r="1427" spans="15:15" x14ac:dyDescent="0.35">
      <c r="O1427"/>
    </row>
    <row r="1428" spans="15:15" x14ac:dyDescent="0.35">
      <c r="O1428"/>
    </row>
    <row r="1429" spans="15:15" x14ac:dyDescent="0.35">
      <c r="O1429"/>
    </row>
    <row r="1430" spans="15:15" x14ac:dyDescent="0.35">
      <c r="O1430"/>
    </row>
    <row r="1431" spans="15:15" x14ac:dyDescent="0.35">
      <c r="O1431"/>
    </row>
    <row r="1432" spans="15:15" x14ac:dyDescent="0.35">
      <c r="O1432"/>
    </row>
    <row r="1433" spans="15:15" x14ac:dyDescent="0.35">
      <c r="O1433"/>
    </row>
    <row r="1434" spans="15:15" x14ac:dyDescent="0.35">
      <c r="O1434"/>
    </row>
    <row r="1435" spans="15:15" x14ac:dyDescent="0.35">
      <c r="O1435"/>
    </row>
    <row r="1436" spans="15:15" x14ac:dyDescent="0.35">
      <c r="O1436"/>
    </row>
    <row r="1437" spans="15:15" x14ac:dyDescent="0.35">
      <c r="O1437"/>
    </row>
    <row r="1438" spans="15:15" x14ac:dyDescent="0.35">
      <c r="O1438"/>
    </row>
    <row r="1439" spans="15:15" x14ac:dyDescent="0.35">
      <c r="O1439"/>
    </row>
    <row r="1440" spans="15:15" x14ac:dyDescent="0.35">
      <c r="O1440"/>
    </row>
    <row r="1441" spans="15:15" x14ac:dyDescent="0.35">
      <c r="O1441"/>
    </row>
    <row r="1442" spans="15:15" x14ac:dyDescent="0.35">
      <c r="O1442"/>
    </row>
    <row r="1443" spans="15:15" x14ac:dyDescent="0.35">
      <c r="O1443"/>
    </row>
    <row r="1444" spans="15:15" x14ac:dyDescent="0.35">
      <c r="O1444"/>
    </row>
    <row r="1445" spans="15:15" x14ac:dyDescent="0.35">
      <c r="O1445"/>
    </row>
    <row r="1446" spans="15:15" x14ac:dyDescent="0.35">
      <c r="O1446"/>
    </row>
    <row r="1447" spans="15:15" x14ac:dyDescent="0.35">
      <c r="O1447"/>
    </row>
    <row r="1448" spans="15:15" x14ac:dyDescent="0.35">
      <c r="O1448"/>
    </row>
    <row r="1449" spans="15:15" x14ac:dyDescent="0.35">
      <c r="O1449"/>
    </row>
    <row r="1450" spans="15:15" x14ac:dyDescent="0.35">
      <c r="O1450"/>
    </row>
    <row r="1451" spans="15:15" x14ac:dyDescent="0.35">
      <c r="O1451"/>
    </row>
    <row r="1452" spans="15:15" x14ac:dyDescent="0.35">
      <c r="O1452"/>
    </row>
    <row r="1453" spans="15:15" x14ac:dyDescent="0.35">
      <c r="O1453"/>
    </row>
    <row r="1454" spans="15:15" x14ac:dyDescent="0.35">
      <c r="O1454"/>
    </row>
    <row r="1455" spans="15:15" x14ac:dyDescent="0.35">
      <c r="O1455"/>
    </row>
    <row r="1456" spans="15:15" x14ac:dyDescent="0.35">
      <c r="O1456"/>
    </row>
    <row r="1457" spans="15:15" x14ac:dyDescent="0.35">
      <c r="O1457"/>
    </row>
    <row r="1458" spans="15:15" x14ac:dyDescent="0.35">
      <c r="O1458"/>
    </row>
    <row r="1459" spans="15:15" x14ac:dyDescent="0.35">
      <c r="O1459"/>
    </row>
    <row r="1460" spans="15:15" x14ac:dyDescent="0.35">
      <c r="O1460"/>
    </row>
    <row r="1461" spans="15:15" x14ac:dyDescent="0.35">
      <c r="O1461"/>
    </row>
    <row r="1462" spans="15:15" x14ac:dyDescent="0.35">
      <c r="O1462"/>
    </row>
    <row r="1463" spans="15:15" x14ac:dyDescent="0.35">
      <c r="O1463"/>
    </row>
    <row r="1464" spans="15:15" x14ac:dyDescent="0.35">
      <c r="O1464"/>
    </row>
    <row r="1465" spans="15:15" x14ac:dyDescent="0.35">
      <c r="O1465"/>
    </row>
    <row r="1466" spans="15:15" x14ac:dyDescent="0.35">
      <c r="O1466"/>
    </row>
    <row r="1467" spans="15:15" x14ac:dyDescent="0.35">
      <c r="O1467"/>
    </row>
    <row r="1468" spans="15:15" x14ac:dyDescent="0.35">
      <c r="O1468"/>
    </row>
    <row r="1469" spans="15:15" x14ac:dyDescent="0.35">
      <c r="O1469"/>
    </row>
    <row r="1470" spans="15:15" x14ac:dyDescent="0.35">
      <c r="O1470"/>
    </row>
    <row r="1471" spans="15:15" x14ac:dyDescent="0.35">
      <c r="O1471"/>
    </row>
    <row r="1472" spans="15:15" x14ac:dyDescent="0.35">
      <c r="O1472"/>
    </row>
    <row r="1473" spans="15:15" x14ac:dyDescent="0.35">
      <c r="O1473"/>
    </row>
    <row r="1474" spans="15:15" x14ac:dyDescent="0.35">
      <c r="O1474"/>
    </row>
    <row r="1475" spans="15:15" x14ac:dyDescent="0.35">
      <c r="O1475"/>
    </row>
    <row r="1476" spans="15:15" x14ac:dyDescent="0.35">
      <c r="O1476"/>
    </row>
    <row r="1477" spans="15:15" x14ac:dyDescent="0.35">
      <c r="O1477"/>
    </row>
    <row r="1478" spans="15:15" x14ac:dyDescent="0.35">
      <c r="O1478"/>
    </row>
    <row r="1479" spans="15:15" x14ac:dyDescent="0.35">
      <c r="O1479"/>
    </row>
    <row r="1480" spans="15:15" x14ac:dyDescent="0.35">
      <c r="O1480"/>
    </row>
    <row r="1481" spans="15:15" x14ac:dyDescent="0.35">
      <c r="O1481"/>
    </row>
    <row r="1482" spans="15:15" x14ac:dyDescent="0.35">
      <c r="O1482"/>
    </row>
    <row r="1483" spans="15:15" x14ac:dyDescent="0.35">
      <c r="O1483"/>
    </row>
    <row r="1484" spans="15:15" x14ac:dyDescent="0.35">
      <c r="O1484"/>
    </row>
    <row r="1485" spans="15:15" x14ac:dyDescent="0.35">
      <c r="O1485"/>
    </row>
    <row r="1486" spans="15:15" x14ac:dyDescent="0.35">
      <c r="O1486"/>
    </row>
    <row r="1487" spans="15:15" x14ac:dyDescent="0.35">
      <c r="O1487"/>
    </row>
    <row r="1488" spans="15:15" x14ac:dyDescent="0.35">
      <c r="O1488"/>
    </row>
    <row r="1489" spans="15:15" x14ac:dyDescent="0.35">
      <c r="O1489"/>
    </row>
    <row r="1490" spans="15:15" x14ac:dyDescent="0.35">
      <c r="O1490"/>
    </row>
    <row r="1491" spans="15:15" x14ac:dyDescent="0.35">
      <c r="O1491"/>
    </row>
    <row r="1492" spans="15:15" x14ac:dyDescent="0.35">
      <c r="O1492"/>
    </row>
    <row r="1493" spans="15:15" x14ac:dyDescent="0.35">
      <c r="O1493"/>
    </row>
    <row r="1494" spans="15:15" x14ac:dyDescent="0.35">
      <c r="O1494"/>
    </row>
    <row r="1495" spans="15:15" x14ac:dyDescent="0.35">
      <c r="O1495"/>
    </row>
    <row r="1496" spans="15:15" x14ac:dyDescent="0.35">
      <c r="O1496"/>
    </row>
    <row r="1497" spans="15:15" x14ac:dyDescent="0.35">
      <c r="O1497"/>
    </row>
    <row r="1498" spans="15:15" x14ac:dyDescent="0.35">
      <c r="O1498"/>
    </row>
    <row r="1499" spans="15:15" x14ac:dyDescent="0.35">
      <c r="O1499"/>
    </row>
    <row r="1500" spans="15:15" x14ac:dyDescent="0.35">
      <c r="O1500"/>
    </row>
    <row r="1501" spans="15:15" x14ac:dyDescent="0.35">
      <c r="O1501"/>
    </row>
    <row r="1502" spans="15:15" x14ac:dyDescent="0.35">
      <c r="O1502"/>
    </row>
    <row r="1503" spans="15:15" x14ac:dyDescent="0.35">
      <c r="O1503"/>
    </row>
    <row r="1504" spans="15:15" x14ac:dyDescent="0.35">
      <c r="O1504"/>
    </row>
    <row r="1505" spans="15:15" x14ac:dyDescent="0.35">
      <c r="O1505"/>
    </row>
    <row r="1506" spans="15:15" x14ac:dyDescent="0.35">
      <c r="O1506"/>
    </row>
    <row r="1507" spans="15:15" x14ac:dyDescent="0.35">
      <c r="O1507"/>
    </row>
    <row r="1508" spans="15:15" x14ac:dyDescent="0.35">
      <c r="O1508"/>
    </row>
    <row r="1509" spans="15:15" x14ac:dyDescent="0.35">
      <c r="O1509"/>
    </row>
    <row r="1510" spans="15:15" x14ac:dyDescent="0.35">
      <c r="O1510"/>
    </row>
    <row r="1511" spans="15:15" x14ac:dyDescent="0.35">
      <c r="O1511"/>
    </row>
    <row r="1512" spans="15:15" x14ac:dyDescent="0.35">
      <c r="O1512"/>
    </row>
    <row r="1513" spans="15:15" x14ac:dyDescent="0.35">
      <c r="O1513"/>
    </row>
    <row r="1514" spans="15:15" x14ac:dyDescent="0.35">
      <c r="O1514"/>
    </row>
    <row r="1515" spans="15:15" x14ac:dyDescent="0.35">
      <c r="O1515"/>
    </row>
    <row r="1516" spans="15:15" x14ac:dyDescent="0.35">
      <c r="O1516"/>
    </row>
    <row r="1517" spans="15:15" x14ac:dyDescent="0.35">
      <c r="O1517"/>
    </row>
    <row r="1518" spans="15:15" x14ac:dyDescent="0.35">
      <c r="O1518"/>
    </row>
    <row r="1519" spans="15:15" x14ac:dyDescent="0.35">
      <c r="O1519"/>
    </row>
    <row r="1520" spans="15:15" x14ac:dyDescent="0.35">
      <c r="O1520"/>
    </row>
    <row r="1521" spans="15:15" x14ac:dyDescent="0.35">
      <c r="O1521"/>
    </row>
    <row r="1522" spans="15:15" x14ac:dyDescent="0.35">
      <c r="O1522"/>
    </row>
    <row r="1523" spans="15:15" x14ac:dyDescent="0.35">
      <c r="O1523"/>
    </row>
    <row r="1524" spans="15:15" x14ac:dyDescent="0.35">
      <c r="O1524"/>
    </row>
    <row r="1525" spans="15:15" x14ac:dyDescent="0.35">
      <c r="O1525"/>
    </row>
    <row r="1526" spans="15:15" x14ac:dyDescent="0.35">
      <c r="O1526"/>
    </row>
    <row r="1527" spans="15:15" x14ac:dyDescent="0.35">
      <c r="O1527"/>
    </row>
    <row r="1528" spans="15:15" x14ac:dyDescent="0.35">
      <c r="O1528"/>
    </row>
    <row r="1529" spans="15:15" x14ac:dyDescent="0.35">
      <c r="O1529"/>
    </row>
    <row r="1530" spans="15:15" x14ac:dyDescent="0.35">
      <c r="O1530"/>
    </row>
    <row r="1531" spans="15:15" x14ac:dyDescent="0.35">
      <c r="O1531"/>
    </row>
    <row r="1532" spans="15:15" x14ac:dyDescent="0.35">
      <c r="O1532"/>
    </row>
    <row r="1533" spans="15:15" x14ac:dyDescent="0.35">
      <c r="O1533"/>
    </row>
    <row r="1534" spans="15:15" x14ac:dyDescent="0.35">
      <c r="O1534"/>
    </row>
    <row r="1535" spans="15:15" x14ac:dyDescent="0.35">
      <c r="O1535"/>
    </row>
    <row r="1536" spans="15:15" x14ac:dyDescent="0.35">
      <c r="O1536"/>
    </row>
    <row r="1537" spans="15:15" x14ac:dyDescent="0.35">
      <c r="O1537"/>
    </row>
    <row r="1538" spans="15:15" x14ac:dyDescent="0.35">
      <c r="O1538"/>
    </row>
    <row r="1539" spans="15:15" x14ac:dyDescent="0.35">
      <c r="O1539"/>
    </row>
    <row r="1540" spans="15:15" x14ac:dyDescent="0.35">
      <c r="O1540"/>
    </row>
    <row r="1541" spans="15:15" x14ac:dyDescent="0.35">
      <c r="O1541"/>
    </row>
    <row r="1542" spans="15:15" x14ac:dyDescent="0.35">
      <c r="O1542"/>
    </row>
    <row r="1543" spans="15:15" x14ac:dyDescent="0.35">
      <c r="O1543"/>
    </row>
    <row r="1544" spans="15:15" x14ac:dyDescent="0.35">
      <c r="O1544"/>
    </row>
    <row r="1545" spans="15:15" x14ac:dyDescent="0.35">
      <c r="O1545"/>
    </row>
    <row r="1546" spans="15:15" x14ac:dyDescent="0.35">
      <c r="O1546"/>
    </row>
    <row r="1547" spans="15:15" x14ac:dyDescent="0.35">
      <c r="O1547"/>
    </row>
    <row r="1548" spans="15:15" x14ac:dyDescent="0.35">
      <c r="O1548"/>
    </row>
    <row r="1549" spans="15:15" x14ac:dyDescent="0.35">
      <c r="O1549"/>
    </row>
    <row r="1550" spans="15:15" x14ac:dyDescent="0.35">
      <c r="O1550"/>
    </row>
    <row r="1551" spans="15:15" x14ac:dyDescent="0.35">
      <c r="O1551"/>
    </row>
    <row r="1552" spans="15:15" x14ac:dyDescent="0.35">
      <c r="O1552"/>
    </row>
    <row r="1553" spans="15:15" x14ac:dyDescent="0.35">
      <c r="O1553"/>
    </row>
    <row r="1554" spans="15:15" x14ac:dyDescent="0.35">
      <c r="O1554"/>
    </row>
    <row r="1555" spans="15:15" x14ac:dyDescent="0.35">
      <c r="O1555"/>
    </row>
    <row r="1556" spans="15:15" x14ac:dyDescent="0.35">
      <c r="O1556"/>
    </row>
    <row r="1557" spans="15:15" x14ac:dyDescent="0.35">
      <c r="O1557"/>
    </row>
    <row r="1558" spans="15:15" x14ac:dyDescent="0.35">
      <c r="O1558"/>
    </row>
    <row r="1559" spans="15:15" x14ac:dyDescent="0.35">
      <c r="O1559"/>
    </row>
    <row r="1560" spans="15:15" x14ac:dyDescent="0.35">
      <c r="O1560"/>
    </row>
    <row r="1561" spans="15:15" x14ac:dyDescent="0.35">
      <c r="O1561"/>
    </row>
    <row r="1562" spans="15:15" x14ac:dyDescent="0.35">
      <c r="O1562"/>
    </row>
    <row r="1563" spans="15:15" x14ac:dyDescent="0.35">
      <c r="O1563"/>
    </row>
    <row r="1564" spans="15:15" x14ac:dyDescent="0.35">
      <c r="O1564"/>
    </row>
    <row r="1565" spans="15:15" x14ac:dyDescent="0.35">
      <c r="O1565"/>
    </row>
    <row r="1566" spans="15:15" x14ac:dyDescent="0.35">
      <c r="O1566"/>
    </row>
    <row r="1567" spans="15:15" x14ac:dyDescent="0.35">
      <c r="O1567"/>
    </row>
    <row r="1568" spans="15:15" x14ac:dyDescent="0.35">
      <c r="O1568"/>
    </row>
    <row r="1569" spans="15:15" x14ac:dyDescent="0.35">
      <c r="O1569"/>
    </row>
    <row r="1570" spans="15:15" x14ac:dyDescent="0.35">
      <c r="O1570"/>
    </row>
    <row r="1571" spans="15:15" x14ac:dyDescent="0.35">
      <c r="O1571"/>
    </row>
    <row r="1572" spans="15:15" x14ac:dyDescent="0.35">
      <c r="O1572"/>
    </row>
    <row r="1573" spans="15:15" x14ac:dyDescent="0.35">
      <c r="O1573"/>
    </row>
    <row r="1574" spans="15:15" x14ac:dyDescent="0.35">
      <c r="O1574"/>
    </row>
    <row r="1575" spans="15:15" x14ac:dyDescent="0.35">
      <c r="O1575"/>
    </row>
    <row r="1576" spans="15:15" x14ac:dyDescent="0.35">
      <c r="O1576"/>
    </row>
    <row r="1577" spans="15:15" x14ac:dyDescent="0.35">
      <c r="O1577"/>
    </row>
    <row r="1578" spans="15:15" x14ac:dyDescent="0.35">
      <c r="O1578"/>
    </row>
    <row r="1579" spans="15:15" x14ac:dyDescent="0.35">
      <c r="O1579"/>
    </row>
    <row r="1580" spans="15:15" x14ac:dyDescent="0.35">
      <c r="O1580"/>
    </row>
    <row r="1581" spans="15:15" x14ac:dyDescent="0.35">
      <c r="O1581"/>
    </row>
    <row r="1582" spans="15:15" x14ac:dyDescent="0.35">
      <c r="O1582"/>
    </row>
    <row r="1583" spans="15:15" x14ac:dyDescent="0.35">
      <c r="O1583"/>
    </row>
    <row r="1584" spans="15:15" x14ac:dyDescent="0.35">
      <c r="O1584"/>
    </row>
    <row r="1585" spans="15:15" x14ac:dyDescent="0.35">
      <c r="O1585"/>
    </row>
    <row r="1586" spans="15:15" x14ac:dyDescent="0.35">
      <c r="O1586"/>
    </row>
    <row r="1587" spans="15:15" x14ac:dyDescent="0.35">
      <c r="O1587"/>
    </row>
    <row r="1588" spans="15:15" x14ac:dyDescent="0.35">
      <c r="O1588"/>
    </row>
    <row r="1589" spans="15:15" x14ac:dyDescent="0.35">
      <c r="O1589"/>
    </row>
    <row r="1590" spans="15:15" x14ac:dyDescent="0.35">
      <c r="O1590"/>
    </row>
    <row r="1591" spans="15:15" x14ac:dyDescent="0.35">
      <c r="O1591"/>
    </row>
    <row r="1592" spans="15:15" x14ac:dyDescent="0.35">
      <c r="O1592"/>
    </row>
    <row r="1593" spans="15:15" x14ac:dyDescent="0.35">
      <c r="O1593"/>
    </row>
    <row r="1594" spans="15:15" x14ac:dyDescent="0.35">
      <c r="O1594"/>
    </row>
    <row r="1595" spans="15:15" x14ac:dyDescent="0.35">
      <c r="O1595"/>
    </row>
    <row r="1596" spans="15:15" x14ac:dyDescent="0.35">
      <c r="O1596"/>
    </row>
    <row r="1597" spans="15:15" x14ac:dyDescent="0.35">
      <c r="O1597"/>
    </row>
    <row r="1598" spans="15:15" x14ac:dyDescent="0.35">
      <c r="O1598"/>
    </row>
    <row r="1599" spans="15:15" x14ac:dyDescent="0.35">
      <c r="O1599"/>
    </row>
    <row r="1600" spans="15:15" x14ac:dyDescent="0.35">
      <c r="O1600"/>
    </row>
    <row r="1601" spans="15:15" x14ac:dyDescent="0.35">
      <c r="O1601"/>
    </row>
    <row r="1602" spans="15:15" x14ac:dyDescent="0.35">
      <c r="O1602"/>
    </row>
    <row r="1603" spans="15:15" x14ac:dyDescent="0.35">
      <c r="O1603"/>
    </row>
    <row r="1604" spans="15:15" x14ac:dyDescent="0.35">
      <c r="O1604"/>
    </row>
    <row r="1605" spans="15:15" x14ac:dyDescent="0.35">
      <c r="O1605"/>
    </row>
    <row r="1606" spans="15:15" x14ac:dyDescent="0.35">
      <c r="O1606"/>
    </row>
    <row r="1607" spans="15:15" x14ac:dyDescent="0.35">
      <c r="O1607"/>
    </row>
    <row r="1608" spans="15:15" x14ac:dyDescent="0.35">
      <c r="O1608"/>
    </row>
    <row r="1609" spans="15:15" x14ac:dyDescent="0.35">
      <c r="O1609"/>
    </row>
    <row r="1610" spans="15:15" x14ac:dyDescent="0.35">
      <c r="O1610"/>
    </row>
    <row r="1611" spans="15:15" x14ac:dyDescent="0.35">
      <c r="O1611"/>
    </row>
    <row r="1612" spans="15:15" x14ac:dyDescent="0.35">
      <c r="O1612"/>
    </row>
    <row r="1613" spans="15:15" x14ac:dyDescent="0.35">
      <c r="O1613"/>
    </row>
    <row r="1614" spans="15:15" x14ac:dyDescent="0.35">
      <c r="O1614"/>
    </row>
    <row r="1615" spans="15:15" x14ac:dyDescent="0.35">
      <c r="O1615"/>
    </row>
    <row r="1616" spans="15:15" x14ac:dyDescent="0.35">
      <c r="O1616"/>
    </row>
    <row r="1617" spans="15:15" x14ac:dyDescent="0.35">
      <c r="O1617"/>
    </row>
    <row r="1618" spans="15:15" x14ac:dyDescent="0.35">
      <c r="O1618"/>
    </row>
    <row r="1619" spans="15:15" x14ac:dyDescent="0.35">
      <c r="O1619"/>
    </row>
    <row r="1620" spans="15:15" x14ac:dyDescent="0.35">
      <c r="O1620"/>
    </row>
    <row r="1621" spans="15:15" x14ac:dyDescent="0.35">
      <c r="O1621"/>
    </row>
    <row r="1622" spans="15:15" x14ac:dyDescent="0.35">
      <c r="O1622"/>
    </row>
    <row r="1623" spans="15:15" x14ac:dyDescent="0.35">
      <c r="O1623"/>
    </row>
    <row r="1624" spans="15:15" x14ac:dyDescent="0.35">
      <c r="O1624"/>
    </row>
    <row r="1625" spans="15:15" x14ac:dyDescent="0.35">
      <c r="O1625"/>
    </row>
    <row r="1626" spans="15:15" x14ac:dyDescent="0.35">
      <c r="O1626"/>
    </row>
    <row r="1627" spans="15:15" x14ac:dyDescent="0.35">
      <c r="O1627"/>
    </row>
    <row r="1628" spans="15:15" x14ac:dyDescent="0.35">
      <c r="O1628"/>
    </row>
    <row r="1629" spans="15:15" x14ac:dyDescent="0.35">
      <c r="O1629"/>
    </row>
    <row r="1630" spans="15:15" x14ac:dyDescent="0.35">
      <c r="O1630"/>
    </row>
    <row r="1631" spans="15:15" x14ac:dyDescent="0.35">
      <c r="O1631"/>
    </row>
    <row r="1632" spans="15:15" x14ac:dyDescent="0.35">
      <c r="O1632"/>
    </row>
    <row r="1633" spans="15:15" x14ac:dyDescent="0.35">
      <c r="O1633"/>
    </row>
    <row r="1634" spans="15:15" x14ac:dyDescent="0.35">
      <c r="O1634"/>
    </row>
    <row r="1635" spans="15:15" x14ac:dyDescent="0.35">
      <c r="O1635"/>
    </row>
    <row r="1636" spans="15:15" x14ac:dyDescent="0.35">
      <c r="O1636"/>
    </row>
    <row r="1637" spans="15:15" x14ac:dyDescent="0.35">
      <c r="O1637"/>
    </row>
    <row r="1638" spans="15:15" x14ac:dyDescent="0.35">
      <c r="O1638"/>
    </row>
    <row r="1639" spans="15:15" x14ac:dyDescent="0.35">
      <c r="O1639"/>
    </row>
    <row r="1640" spans="15:15" x14ac:dyDescent="0.35">
      <c r="O1640"/>
    </row>
    <row r="1641" spans="15:15" x14ac:dyDescent="0.35">
      <c r="O1641"/>
    </row>
    <row r="1642" spans="15:15" x14ac:dyDescent="0.35">
      <c r="O1642"/>
    </row>
    <row r="1643" spans="15:15" x14ac:dyDescent="0.35">
      <c r="O1643"/>
    </row>
    <row r="1644" spans="15:15" x14ac:dyDescent="0.35">
      <c r="O1644"/>
    </row>
    <row r="1645" spans="15:15" x14ac:dyDescent="0.35">
      <c r="O1645"/>
    </row>
    <row r="1646" spans="15:15" x14ac:dyDescent="0.35">
      <c r="O1646"/>
    </row>
    <row r="1647" spans="15:15" x14ac:dyDescent="0.35">
      <c r="O1647"/>
    </row>
    <row r="1648" spans="15:15" x14ac:dyDescent="0.35">
      <c r="O1648"/>
    </row>
    <row r="1649" spans="15:15" x14ac:dyDescent="0.35">
      <c r="O1649"/>
    </row>
    <row r="1650" spans="15:15" x14ac:dyDescent="0.35">
      <c r="O1650"/>
    </row>
    <row r="1651" spans="15:15" x14ac:dyDescent="0.35">
      <c r="O1651"/>
    </row>
    <row r="1652" spans="15:15" x14ac:dyDescent="0.35">
      <c r="O1652"/>
    </row>
    <row r="1653" spans="15:15" x14ac:dyDescent="0.35">
      <c r="O1653"/>
    </row>
    <row r="1654" spans="15:15" x14ac:dyDescent="0.35">
      <c r="O1654"/>
    </row>
    <row r="1655" spans="15:15" x14ac:dyDescent="0.35">
      <c r="O1655"/>
    </row>
    <row r="1656" spans="15:15" x14ac:dyDescent="0.35">
      <c r="O1656"/>
    </row>
    <row r="1657" spans="15:15" x14ac:dyDescent="0.35">
      <c r="O1657"/>
    </row>
    <row r="1658" spans="15:15" x14ac:dyDescent="0.35">
      <c r="O1658"/>
    </row>
    <row r="1659" spans="15:15" x14ac:dyDescent="0.35">
      <c r="O1659"/>
    </row>
    <row r="1660" spans="15:15" x14ac:dyDescent="0.35">
      <c r="O1660"/>
    </row>
    <row r="1661" spans="15:15" x14ac:dyDescent="0.35">
      <c r="O1661"/>
    </row>
    <row r="1662" spans="15:15" x14ac:dyDescent="0.35">
      <c r="O1662"/>
    </row>
    <row r="1663" spans="15:15" x14ac:dyDescent="0.35">
      <c r="O1663"/>
    </row>
    <row r="1664" spans="15:15" x14ac:dyDescent="0.35">
      <c r="O1664"/>
    </row>
    <row r="1665" spans="15:15" x14ac:dyDescent="0.35">
      <c r="O1665"/>
    </row>
    <row r="1666" spans="15:15" x14ac:dyDescent="0.35">
      <c r="O1666"/>
    </row>
    <row r="1667" spans="15:15" x14ac:dyDescent="0.35">
      <c r="O1667"/>
    </row>
    <row r="1668" spans="15:15" x14ac:dyDescent="0.35">
      <c r="O1668"/>
    </row>
    <row r="1669" spans="15:15" x14ac:dyDescent="0.35">
      <c r="O1669"/>
    </row>
    <row r="1670" spans="15:15" x14ac:dyDescent="0.35">
      <c r="O1670"/>
    </row>
    <row r="1671" spans="15:15" x14ac:dyDescent="0.35">
      <c r="O1671"/>
    </row>
    <row r="1672" spans="15:15" x14ac:dyDescent="0.35">
      <c r="O1672"/>
    </row>
    <row r="1673" spans="15:15" x14ac:dyDescent="0.35">
      <c r="O1673"/>
    </row>
    <row r="1674" spans="15:15" x14ac:dyDescent="0.35">
      <c r="O1674"/>
    </row>
    <row r="1675" spans="15:15" x14ac:dyDescent="0.35">
      <c r="O1675"/>
    </row>
    <row r="1676" spans="15:15" x14ac:dyDescent="0.35">
      <c r="O1676"/>
    </row>
    <row r="1677" spans="15:15" x14ac:dyDescent="0.35">
      <c r="O1677"/>
    </row>
    <row r="1678" spans="15:15" x14ac:dyDescent="0.35">
      <c r="O1678"/>
    </row>
    <row r="1679" spans="15:15" x14ac:dyDescent="0.35">
      <c r="O1679"/>
    </row>
    <row r="1680" spans="15:15" x14ac:dyDescent="0.35">
      <c r="O1680"/>
    </row>
    <row r="1681" spans="15:15" x14ac:dyDescent="0.35">
      <c r="O1681"/>
    </row>
    <row r="1682" spans="15:15" x14ac:dyDescent="0.35">
      <c r="O1682"/>
    </row>
    <row r="1683" spans="15:15" x14ac:dyDescent="0.35">
      <c r="O1683"/>
    </row>
    <row r="1684" spans="15:15" x14ac:dyDescent="0.35">
      <c r="O1684"/>
    </row>
    <row r="1685" spans="15:15" x14ac:dyDescent="0.35">
      <c r="O1685"/>
    </row>
    <row r="1686" spans="15:15" x14ac:dyDescent="0.35">
      <c r="O1686"/>
    </row>
    <row r="1687" spans="15:15" x14ac:dyDescent="0.35">
      <c r="O1687"/>
    </row>
    <row r="1688" spans="15:15" x14ac:dyDescent="0.35">
      <c r="O1688"/>
    </row>
    <row r="1689" spans="15:15" x14ac:dyDescent="0.35">
      <c r="O1689"/>
    </row>
    <row r="1690" spans="15:15" x14ac:dyDescent="0.35">
      <c r="O1690"/>
    </row>
    <row r="1691" spans="15:15" x14ac:dyDescent="0.35">
      <c r="O1691"/>
    </row>
    <row r="1692" spans="15:15" x14ac:dyDescent="0.35">
      <c r="O1692"/>
    </row>
    <row r="1693" spans="15:15" x14ac:dyDescent="0.35">
      <c r="O1693"/>
    </row>
    <row r="1694" spans="15:15" x14ac:dyDescent="0.35">
      <c r="O1694"/>
    </row>
    <row r="1695" spans="15:15" x14ac:dyDescent="0.35">
      <c r="O1695"/>
    </row>
    <row r="1696" spans="15:15" x14ac:dyDescent="0.35">
      <c r="O1696"/>
    </row>
    <row r="1697" spans="15:15" x14ac:dyDescent="0.35">
      <c r="O1697"/>
    </row>
    <row r="1698" spans="15:15" x14ac:dyDescent="0.35">
      <c r="O1698"/>
    </row>
    <row r="1699" spans="15:15" x14ac:dyDescent="0.35">
      <c r="O1699"/>
    </row>
    <row r="1700" spans="15:15" x14ac:dyDescent="0.35">
      <c r="O1700"/>
    </row>
    <row r="1701" spans="15:15" x14ac:dyDescent="0.35">
      <c r="O1701"/>
    </row>
    <row r="1702" spans="15:15" x14ac:dyDescent="0.35">
      <c r="O1702"/>
    </row>
    <row r="1703" spans="15:15" x14ac:dyDescent="0.35">
      <c r="O1703"/>
    </row>
    <row r="1704" spans="15:15" x14ac:dyDescent="0.35">
      <c r="O1704"/>
    </row>
    <row r="1705" spans="15:15" x14ac:dyDescent="0.35">
      <c r="O1705"/>
    </row>
    <row r="1706" spans="15:15" x14ac:dyDescent="0.35">
      <c r="O1706"/>
    </row>
    <row r="1707" spans="15:15" x14ac:dyDescent="0.35">
      <c r="O1707"/>
    </row>
    <row r="1708" spans="15:15" x14ac:dyDescent="0.35">
      <c r="O1708"/>
    </row>
    <row r="1709" spans="15:15" x14ac:dyDescent="0.35">
      <c r="O1709"/>
    </row>
    <row r="1710" spans="15:15" x14ac:dyDescent="0.35">
      <c r="O1710"/>
    </row>
    <row r="1711" spans="15:15" x14ac:dyDescent="0.35">
      <c r="O1711"/>
    </row>
    <row r="1712" spans="15:15" x14ac:dyDescent="0.35">
      <c r="O1712"/>
    </row>
    <row r="1713" spans="15:15" x14ac:dyDescent="0.35">
      <c r="O1713"/>
    </row>
    <row r="1714" spans="15:15" x14ac:dyDescent="0.35">
      <c r="O1714"/>
    </row>
    <row r="1715" spans="15:15" x14ac:dyDescent="0.35">
      <c r="O1715"/>
    </row>
    <row r="1716" spans="15:15" x14ac:dyDescent="0.35">
      <c r="O1716"/>
    </row>
    <row r="1717" spans="15:15" x14ac:dyDescent="0.35">
      <c r="O1717"/>
    </row>
    <row r="1718" spans="15:15" x14ac:dyDescent="0.35">
      <c r="O1718"/>
    </row>
    <row r="1719" spans="15:15" x14ac:dyDescent="0.35">
      <c r="O1719"/>
    </row>
    <row r="1720" spans="15:15" x14ac:dyDescent="0.35">
      <c r="O1720"/>
    </row>
    <row r="1721" spans="15:15" x14ac:dyDescent="0.35">
      <c r="O1721"/>
    </row>
    <row r="1722" spans="15:15" x14ac:dyDescent="0.35">
      <c r="O1722"/>
    </row>
    <row r="1723" spans="15:15" x14ac:dyDescent="0.35">
      <c r="O1723"/>
    </row>
    <row r="1724" spans="15:15" x14ac:dyDescent="0.35">
      <c r="O1724"/>
    </row>
    <row r="1725" spans="15:15" x14ac:dyDescent="0.35">
      <c r="O1725"/>
    </row>
    <row r="1726" spans="15:15" x14ac:dyDescent="0.35">
      <c r="O1726"/>
    </row>
    <row r="1727" spans="15:15" x14ac:dyDescent="0.35">
      <c r="O1727"/>
    </row>
    <row r="1728" spans="15:15" x14ac:dyDescent="0.35">
      <c r="O1728"/>
    </row>
    <row r="1729" spans="15:15" x14ac:dyDescent="0.35">
      <c r="O1729"/>
    </row>
    <row r="1730" spans="15:15" x14ac:dyDescent="0.35">
      <c r="O1730"/>
    </row>
    <row r="1731" spans="15:15" x14ac:dyDescent="0.35">
      <c r="O1731"/>
    </row>
    <row r="1732" spans="15:15" x14ac:dyDescent="0.35">
      <c r="O1732"/>
    </row>
    <row r="1733" spans="15:15" x14ac:dyDescent="0.35">
      <c r="O1733"/>
    </row>
    <row r="1734" spans="15:15" x14ac:dyDescent="0.35">
      <c r="O1734"/>
    </row>
    <row r="1735" spans="15:15" x14ac:dyDescent="0.35">
      <c r="O1735"/>
    </row>
    <row r="1736" spans="15:15" x14ac:dyDescent="0.35">
      <c r="O1736"/>
    </row>
    <row r="1737" spans="15:15" x14ac:dyDescent="0.35">
      <c r="O1737"/>
    </row>
    <row r="1738" spans="15:15" x14ac:dyDescent="0.35">
      <c r="O1738"/>
    </row>
    <row r="1739" spans="15:15" x14ac:dyDescent="0.35">
      <c r="O1739"/>
    </row>
    <row r="1740" spans="15:15" x14ac:dyDescent="0.35">
      <c r="O1740"/>
    </row>
    <row r="1741" spans="15:15" x14ac:dyDescent="0.35">
      <c r="O1741"/>
    </row>
    <row r="1742" spans="15:15" x14ac:dyDescent="0.35">
      <c r="O1742"/>
    </row>
    <row r="1743" spans="15:15" x14ac:dyDescent="0.35">
      <c r="O1743"/>
    </row>
    <row r="1744" spans="15:15" x14ac:dyDescent="0.35">
      <c r="O1744"/>
    </row>
    <row r="1745" spans="15:15" x14ac:dyDescent="0.35">
      <c r="O1745"/>
    </row>
    <row r="1746" spans="15:15" x14ac:dyDescent="0.35">
      <c r="O1746"/>
    </row>
    <row r="1747" spans="15:15" x14ac:dyDescent="0.35">
      <c r="O1747"/>
    </row>
    <row r="1748" spans="15:15" x14ac:dyDescent="0.35">
      <c r="O1748"/>
    </row>
    <row r="1749" spans="15:15" x14ac:dyDescent="0.35">
      <c r="O1749"/>
    </row>
    <row r="1750" spans="15:15" x14ac:dyDescent="0.35">
      <c r="O1750"/>
    </row>
    <row r="1751" spans="15:15" x14ac:dyDescent="0.35">
      <c r="O1751"/>
    </row>
    <row r="1752" spans="15:15" x14ac:dyDescent="0.35">
      <c r="O1752"/>
    </row>
    <row r="1753" spans="15:15" x14ac:dyDescent="0.35">
      <c r="O1753"/>
    </row>
    <row r="1754" spans="15:15" x14ac:dyDescent="0.35">
      <c r="O1754"/>
    </row>
    <row r="1755" spans="15:15" x14ac:dyDescent="0.35">
      <c r="O1755"/>
    </row>
    <row r="1756" spans="15:15" x14ac:dyDescent="0.35">
      <c r="O1756"/>
    </row>
    <row r="1757" spans="15:15" x14ac:dyDescent="0.35">
      <c r="O1757"/>
    </row>
    <row r="1758" spans="15:15" x14ac:dyDescent="0.35">
      <c r="O1758"/>
    </row>
    <row r="1759" spans="15:15" x14ac:dyDescent="0.35">
      <c r="O1759"/>
    </row>
    <row r="1760" spans="15:15" x14ac:dyDescent="0.35">
      <c r="O1760"/>
    </row>
    <row r="1761" spans="15:15" x14ac:dyDescent="0.35">
      <c r="O1761"/>
    </row>
    <row r="1762" spans="15:15" x14ac:dyDescent="0.35">
      <c r="O1762"/>
    </row>
    <row r="1763" spans="15:15" x14ac:dyDescent="0.35">
      <c r="O1763"/>
    </row>
    <row r="1764" spans="15:15" x14ac:dyDescent="0.35">
      <c r="O1764"/>
    </row>
    <row r="1765" spans="15:15" x14ac:dyDescent="0.35">
      <c r="O1765"/>
    </row>
    <row r="1766" spans="15:15" x14ac:dyDescent="0.35">
      <c r="O1766"/>
    </row>
    <row r="1767" spans="15:15" x14ac:dyDescent="0.35">
      <c r="O1767"/>
    </row>
    <row r="1768" spans="15:15" x14ac:dyDescent="0.35">
      <c r="O1768"/>
    </row>
    <row r="1769" spans="15:15" x14ac:dyDescent="0.35">
      <c r="O1769"/>
    </row>
    <row r="1770" spans="15:15" x14ac:dyDescent="0.35">
      <c r="O1770"/>
    </row>
    <row r="1771" spans="15:15" x14ac:dyDescent="0.35">
      <c r="O1771"/>
    </row>
    <row r="1772" spans="15:15" x14ac:dyDescent="0.35">
      <c r="O1772"/>
    </row>
    <row r="1773" spans="15:15" x14ac:dyDescent="0.35">
      <c r="O1773"/>
    </row>
    <row r="1774" spans="15:15" x14ac:dyDescent="0.35">
      <c r="O1774"/>
    </row>
    <row r="1775" spans="15:15" x14ac:dyDescent="0.35">
      <c r="O1775"/>
    </row>
    <row r="1776" spans="15:15" x14ac:dyDescent="0.35">
      <c r="O1776"/>
    </row>
    <row r="1777" spans="15:15" x14ac:dyDescent="0.35">
      <c r="O1777"/>
    </row>
    <row r="1778" spans="15:15" x14ac:dyDescent="0.35">
      <c r="O1778"/>
    </row>
    <row r="1779" spans="15:15" x14ac:dyDescent="0.35">
      <c r="O1779"/>
    </row>
    <row r="1780" spans="15:15" x14ac:dyDescent="0.35">
      <c r="O1780"/>
    </row>
    <row r="1781" spans="15:15" x14ac:dyDescent="0.35">
      <c r="O1781"/>
    </row>
    <row r="1782" spans="15:15" x14ac:dyDescent="0.35">
      <c r="O1782"/>
    </row>
    <row r="1783" spans="15:15" x14ac:dyDescent="0.35">
      <c r="O1783"/>
    </row>
    <row r="1784" spans="15:15" x14ac:dyDescent="0.35">
      <c r="O1784"/>
    </row>
    <row r="1785" spans="15:15" x14ac:dyDescent="0.35">
      <c r="O1785"/>
    </row>
    <row r="1786" spans="15:15" x14ac:dyDescent="0.35">
      <c r="O1786"/>
    </row>
    <row r="1787" spans="15:15" x14ac:dyDescent="0.35">
      <c r="O1787"/>
    </row>
    <row r="1788" spans="15:15" x14ac:dyDescent="0.35">
      <c r="O1788"/>
    </row>
    <row r="1789" spans="15:15" x14ac:dyDescent="0.35">
      <c r="O1789"/>
    </row>
    <row r="1790" spans="15:15" x14ac:dyDescent="0.35">
      <c r="O1790"/>
    </row>
    <row r="1791" spans="15:15" x14ac:dyDescent="0.35">
      <c r="O1791"/>
    </row>
    <row r="1792" spans="15:15" x14ac:dyDescent="0.35">
      <c r="O1792"/>
    </row>
    <row r="1793" spans="15:15" x14ac:dyDescent="0.35">
      <c r="O1793"/>
    </row>
    <row r="1794" spans="15:15" x14ac:dyDescent="0.35">
      <c r="O1794"/>
    </row>
    <row r="1795" spans="15:15" x14ac:dyDescent="0.35">
      <c r="O1795"/>
    </row>
    <row r="1796" spans="15:15" x14ac:dyDescent="0.35">
      <c r="O1796"/>
    </row>
    <row r="1797" spans="15:15" x14ac:dyDescent="0.35">
      <c r="O1797"/>
    </row>
    <row r="1798" spans="15:15" x14ac:dyDescent="0.35">
      <c r="O1798"/>
    </row>
    <row r="1799" spans="15:15" x14ac:dyDescent="0.35">
      <c r="O1799"/>
    </row>
    <row r="1800" spans="15:15" x14ac:dyDescent="0.35">
      <c r="O1800"/>
    </row>
    <row r="1801" spans="15:15" x14ac:dyDescent="0.35">
      <c r="O1801"/>
    </row>
    <row r="1802" spans="15:15" x14ac:dyDescent="0.35">
      <c r="O1802"/>
    </row>
    <row r="1803" spans="15:15" x14ac:dyDescent="0.35">
      <c r="O1803"/>
    </row>
    <row r="1804" spans="15:15" x14ac:dyDescent="0.35">
      <c r="O1804"/>
    </row>
    <row r="1805" spans="15:15" x14ac:dyDescent="0.35">
      <c r="O1805"/>
    </row>
    <row r="1806" spans="15:15" x14ac:dyDescent="0.35">
      <c r="O1806"/>
    </row>
    <row r="1807" spans="15:15" x14ac:dyDescent="0.35">
      <c r="O1807"/>
    </row>
    <row r="1808" spans="15:15" x14ac:dyDescent="0.35">
      <c r="O1808"/>
    </row>
    <row r="1809" spans="15:15" x14ac:dyDescent="0.35">
      <c r="O1809"/>
    </row>
    <row r="1810" spans="15:15" x14ac:dyDescent="0.35">
      <c r="O1810"/>
    </row>
    <row r="1811" spans="15:15" x14ac:dyDescent="0.35">
      <c r="O1811"/>
    </row>
    <row r="1812" spans="15:15" x14ac:dyDescent="0.35">
      <c r="O1812"/>
    </row>
    <row r="1813" spans="15:15" x14ac:dyDescent="0.35">
      <c r="O1813"/>
    </row>
    <row r="1814" spans="15:15" x14ac:dyDescent="0.35">
      <c r="O1814"/>
    </row>
    <row r="1815" spans="15:15" x14ac:dyDescent="0.35">
      <c r="O1815"/>
    </row>
    <row r="1816" spans="15:15" x14ac:dyDescent="0.35">
      <c r="O1816"/>
    </row>
    <row r="1817" spans="15:15" x14ac:dyDescent="0.35">
      <c r="O1817"/>
    </row>
    <row r="1818" spans="15:15" x14ac:dyDescent="0.35">
      <c r="O1818"/>
    </row>
    <row r="1819" spans="15:15" x14ac:dyDescent="0.35">
      <c r="O1819"/>
    </row>
    <row r="1820" spans="15:15" x14ac:dyDescent="0.35">
      <c r="O1820"/>
    </row>
    <row r="1821" spans="15:15" x14ac:dyDescent="0.35">
      <c r="O1821"/>
    </row>
    <row r="1822" spans="15:15" x14ac:dyDescent="0.35">
      <c r="O1822"/>
    </row>
    <row r="1823" spans="15:15" x14ac:dyDescent="0.35">
      <c r="O1823"/>
    </row>
    <row r="1824" spans="15:15" x14ac:dyDescent="0.35">
      <c r="O1824"/>
    </row>
    <row r="1825" spans="15:15" x14ac:dyDescent="0.35">
      <c r="O1825"/>
    </row>
    <row r="1826" spans="15:15" x14ac:dyDescent="0.35">
      <c r="O1826"/>
    </row>
    <row r="1827" spans="15:15" x14ac:dyDescent="0.35">
      <c r="O1827"/>
    </row>
    <row r="1828" spans="15:15" x14ac:dyDescent="0.35">
      <c r="O1828"/>
    </row>
    <row r="1829" spans="15:15" x14ac:dyDescent="0.35">
      <c r="O1829"/>
    </row>
    <row r="1830" spans="15:15" x14ac:dyDescent="0.35">
      <c r="O1830"/>
    </row>
    <row r="1831" spans="15:15" x14ac:dyDescent="0.35">
      <c r="O1831"/>
    </row>
    <row r="1832" spans="15:15" x14ac:dyDescent="0.35">
      <c r="O1832"/>
    </row>
    <row r="1833" spans="15:15" x14ac:dyDescent="0.35">
      <c r="O1833"/>
    </row>
    <row r="1834" spans="15:15" x14ac:dyDescent="0.35">
      <c r="O1834"/>
    </row>
    <row r="1835" spans="15:15" x14ac:dyDescent="0.35">
      <c r="O1835"/>
    </row>
    <row r="1836" spans="15:15" x14ac:dyDescent="0.35">
      <c r="O1836"/>
    </row>
    <row r="1837" spans="15:15" x14ac:dyDescent="0.35">
      <c r="O1837"/>
    </row>
    <row r="1838" spans="15:15" x14ac:dyDescent="0.35">
      <c r="O1838"/>
    </row>
    <row r="1839" spans="15:15" x14ac:dyDescent="0.35">
      <c r="O1839"/>
    </row>
    <row r="1840" spans="15:15" x14ac:dyDescent="0.35">
      <c r="O1840"/>
    </row>
    <row r="1841" spans="15:15" x14ac:dyDescent="0.35">
      <c r="O1841"/>
    </row>
    <row r="1842" spans="15:15" x14ac:dyDescent="0.35">
      <c r="O1842"/>
    </row>
    <row r="1843" spans="15:15" x14ac:dyDescent="0.35">
      <c r="O1843"/>
    </row>
    <row r="1844" spans="15:15" x14ac:dyDescent="0.35">
      <c r="O1844"/>
    </row>
    <row r="1845" spans="15:15" x14ac:dyDescent="0.35">
      <c r="O1845"/>
    </row>
    <row r="1846" spans="15:15" x14ac:dyDescent="0.35">
      <c r="O1846"/>
    </row>
    <row r="1847" spans="15:15" x14ac:dyDescent="0.35">
      <c r="O1847"/>
    </row>
    <row r="1848" spans="15:15" x14ac:dyDescent="0.35">
      <c r="O1848"/>
    </row>
    <row r="1849" spans="15:15" x14ac:dyDescent="0.35">
      <c r="O1849"/>
    </row>
    <row r="1850" spans="15:15" x14ac:dyDescent="0.35">
      <c r="O1850"/>
    </row>
    <row r="1851" spans="15:15" x14ac:dyDescent="0.35">
      <c r="O1851"/>
    </row>
    <row r="1852" spans="15:15" x14ac:dyDescent="0.35">
      <c r="O1852"/>
    </row>
    <row r="1853" spans="15:15" x14ac:dyDescent="0.35">
      <c r="O1853"/>
    </row>
    <row r="1854" spans="15:15" x14ac:dyDescent="0.35">
      <c r="O1854"/>
    </row>
    <row r="1855" spans="15:15" x14ac:dyDescent="0.35">
      <c r="O1855"/>
    </row>
    <row r="1856" spans="15:15" x14ac:dyDescent="0.35">
      <c r="O1856"/>
    </row>
    <row r="1857" spans="15:15" x14ac:dyDescent="0.35">
      <c r="O1857"/>
    </row>
    <row r="1858" spans="15:15" x14ac:dyDescent="0.35">
      <c r="O1858"/>
    </row>
    <row r="1859" spans="15:15" x14ac:dyDescent="0.35">
      <c r="O1859"/>
    </row>
    <row r="1860" spans="15:15" x14ac:dyDescent="0.35">
      <c r="O1860"/>
    </row>
    <row r="1861" spans="15:15" x14ac:dyDescent="0.35">
      <c r="O1861"/>
    </row>
    <row r="1862" spans="15:15" x14ac:dyDescent="0.35">
      <c r="O1862"/>
    </row>
    <row r="1863" spans="15:15" x14ac:dyDescent="0.35">
      <c r="O1863"/>
    </row>
    <row r="1864" spans="15:15" x14ac:dyDescent="0.35">
      <c r="O1864"/>
    </row>
    <row r="1865" spans="15:15" x14ac:dyDescent="0.35">
      <c r="O1865"/>
    </row>
    <row r="1866" spans="15:15" x14ac:dyDescent="0.35">
      <c r="O1866"/>
    </row>
    <row r="1867" spans="15:15" x14ac:dyDescent="0.35">
      <c r="O1867"/>
    </row>
    <row r="1868" spans="15:15" x14ac:dyDescent="0.35">
      <c r="O1868"/>
    </row>
    <row r="1869" spans="15:15" x14ac:dyDescent="0.35">
      <c r="O1869"/>
    </row>
    <row r="1870" spans="15:15" x14ac:dyDescent="0.35">
      <c r="O1870"/>
    </row>
    <row r="1871" spans="15:15" x14ac:dyDescent="0.35">
      <c r="O1871"/>
    </row>
    <row r="1872" spans="15:15" x14ac:dyDescent="0.35">
      <c r="O1872"/>
    </row>
    <row r="1873" spans="15:15" x14ac:dyDescent="0.35">
      <c r="O1873"/>
    </row>
    <row r="1874" spans="15:15" x14ac:dyDescent="0.35">
      <c r="O1874"/>
    </row>
    <row r="1875" spans="15:15" x14ac:dyDescent="0.35">
      <c r="O1875"/>
    </row>
    <row r="1876" spans="15:15" x14ac:dyDescent="0.35">
      <c r="O1876"/>
    </row>
    <row r="1877" spans="15:15" x14ac:dyDescent="0.35">
      <c r="O1877"/>
    </row>
    <row r="1878" spans="15:15" x14ac:dyDescent="0.35">
      <c r="O1878"/>
    </row>
    <row r="1879" spans="15:15" x14ac:dyDescent="0.35">
      <c r="O1879"/>
    </row>
    <row r="1880" spans="15:15" x14ac:dyDescent="0.35">
      <c r="O1880"/>
    </row>
    <row r="1881" spans="15:15" x14ac:dyDescent="0.35">
      <c r="O1881"/>
    </row>
    <row r="1882" spans="15:15" x14ac:dyDescent="0.35">
      <c r="O1882"/>
    </row>
    <row r="1883" spans="15:15" x14ac:dyDescent="0.35">
      <c r="O1883"/>
    </row>
    <row r="1884" spans="15:15" x14ac:dyDescent="0.35">
      <c r="O1884"/>
    </row>
    <row r="1885" spans="15:15" x14ac:dyDescent="0.35">
      <c r="O1885"/>
    </row>
    <row r="1886" spans="15:15" x14ac:dyDescent="0.35">
      <c r="O1886"/>
    </row>
    <row r="1887" spans="15:15" x14ac:dyDescent="0.35">
      <c r="O1887"/>
    </row>
    <row r="1888" spans="15:15" x14ac:dyDescent="0.35">
      <c r="O1888"/>
    </row>
    <row r="1889" spans="15:15" x14ac:dyDescent="0.35">
      <c r="O1889"/>
    </row>
    <row r="1890" spans="15:15" x14ac:dyDescent="0.35">
      <c r="O1890"/>
    </row>
    <row r="1891" spans="15:15" x14ac:dyDescent="0.35">
      <c r="O1891"/>
    </row>
    <row r="1892" spans="15:15" x14ac:dyDescent="0.35">
      <c r="O1892"/>
    </row>
    <row r="1893" spans="15:15" x14ac:dyDescent="0.35">
      <c r="O1893"/>
    </row>
    <row r="1894" spans="15:15" x14ac:dyDescent="0.35">
      <c r="O1894"/>
    </row>
    <row r="1895" spans="15:15" x14ac:dyDescent="0.35">
      <c r="O1895"/>
    </row>
    <row r="1896" spans="15:15" x14ac:dyDescent="0.35">
      <c r="O1896"/>
    </row>
    <row r="1897" spans="15:15" x14ac:dyDescent="0.35">
      <c r="O1897"/>
    </row>
    <row r="1898" spans="15:15" x14ac:dyDescent="0.35">
      <c r="O1898"/>
    </row>
    <row r="1899" spans="15:15" x14ac:dyDescent="0.35">
      <c r="O1899"/>
    </row>
    <row r="1900" spans="15:15" x14ac:dyDescent="0.35">
      <c r="O1900"/>
    </row>
    <row r="1901" spans="15:15" x14ac:dyDescent="0.35">
      <c r="O1901"/>
    </row>
    <row r="1902" spans="15:15" x14ac:dyDescent="0.35">
      <c r="O1902"/>
    </row>
    <row r="1903" spans="15:15" x14ac:dyDescent="0.35">
      <c r="O1903"/>
    </row>
    <row r="1904" spans="15:15" x14ac:dyDescent="0.35">
      <c r="O1904"/>
    </row>
    <row r="1905" spans="15:15" x14ac:dyDescent="0.35">
      <c r="O1905"/>
    </row>
    <row r="1906" spans="15:15" x14ac:dyDescent="0.35">
      <c r="O1906"/>
    </row>
    <row r="1907" spans="15:15" x14ac:dyDescent="0.35">
      <c r="O1907"/>
    </row>
    <row r="1908" spans="15:15" x14ac:dyDescent="0.35">
      <c r="O1908"/>
    </row>
    <row r="1909" spans="15:15" x14ac:dyDescent="0.35">
      <c r="O1909"/>
    </row>
    <row r="1910" spans="15:15" x14ac:dyDescent="0.35">
      <c r="O1910"/>
    </row>
    <row r="1911" spans="15:15" x14ac:dyDescent="0.35">
      <c r="O1911"/>
    </row>
    <row r="1912" spans="15:15" x14ac:dyDescent="0.35">
      <c r="O1912"/>
    </row>
    <row r="1913" spans="15:15" x14ac:dyDescent="0.35">
      <c r="O1913"/>
    </row>
    <row r="1914" spans="15:15" x14ac:dyDescent="0.35">
      <c r="O1914"/>
    </row>
    <row r="1915" spans="15:15" x14ac:dyDescent="0.35">
      <c r="O1915"/>
    </row>
    <row r="1916" spans="15:15" x14ac:dyDescent="0.35">
      <c r="O1916"/>
    </row>
    <row r="1917" spans="15:15" x14ac:dyDescent="0.35">
      <c r="O1917"/>
    </row>
    <row r="1918" spans="15:15" x14ac:dyDescent="0.35">
      <c r="O1918"/>
    </row>
    <row r="1919" spans="15:15" x14ac:dyDescent="0.35">
      <c r="O1919"/>
    </row>
    <row r="1920" spans="15:15" x14ac:dyDescent="0.35">
      <c r="O1920"/>
    </row>
    <row r="1921" spans="15:15" x14ac:dyDescent="0.35">
      <c r="O1921"/>
    </row>
    <row r="1922" spans="15:15" x14ac:dyDescent="0.35">
      <c r="O1922"/>
    </row>
    <row r="1923" spans="15:15" x14ac:dyDescent="0.35">
      <c r="O1923"/>
    </row>
    <row r="1924" spans="15:15" x14ac:dyDescent="0.35">
      <c r="O1924"/>
    </row>
    <row r="1925" spans="15:15" x14ac:dyDescent="0.35">
      <c r="O1925"/>
    </row>
    <row r="1926" spans="15:15" x14ac:dyDescent="0.35">
      <c r="O1926"/>
    </row>
    <row r="1927" spans="15:15" x14ac:dyDescent="0.35">
      <c r="O1927"/>
    </row>
    <row r="1928" spans="15:15" x14ac:dyDescent="0.35">
      <c r="O1928"/>
    </row>
    <row r="1929" spans="15:15" x14ac:dyDescent="0.35">
      <c r="O1929"/>
    </row>
    <row r="1930" spans="15:15" x14ac:dyDescent="0.35">
      <c r="O1930"/>
    </row>
    <row r="1931" spans="15:15" x14ac:dyDescent="0.35">
      <c r="O1931"/>
    </row>
    <row r="1932" spans="15:15" x14ac:dyDescent="0.35">
      <c r="O1932"/>
    </row>
    <row r="1933" spans="15:15" x14ac:dyDescent="0.35">
      <c r="O1933"/>
    </row>
    <row r="1934" spans="15:15" x14ac:dyDescent="0.35">
      <c r="O1934"/>
    </row>
    <row r="1935" spans="15:15" x14ac:dyDescent="0.35">
      <c r="O1935"/>
    </row>
    <row r="1936" spans="15:15" x14ac:dyDescent="0.35">
      <c r="O1936"/>
    </row>
    <row r="1937" spans="15:15" x14ac:dyDescent="0.35">
      <c r="O1937"/>
    </row>
    <row r="1938" spans="15:15" x14ac:dyDescent="0.35">
      <c r="O1938"/>
    </row>
    <row r="1939" spans="15:15" x14ac:dyDescent="0.35">
      <c r="O1939"/>
    </row>
    <row r="1940" spans="15:15" x14ac:dyDescent="0.35">
      <c r="O1940"/>
    </row>
    <row r="1941" spans="15:15" x14ac:dyDescent="0.35">
      <c r="O1941"/>
    </row>
    <row r="1942" spans="15:15" x14ac:dyDescent="0.35">
      <c r="O1942"/>
    </row>
    <row r="1943" spans="15:15" x14ac:dyDescent="0.35">
      <c r="O1943"/>
    </row>
    <row r="1944" spans="15:15" x14ac:dyDescent="0.35">
      <c r="O1944"/>
    </row>
    <row r="1945" spans="15:15" x14ac:dyDescent="0.35">
      <c r="O1945"/>
    </row>
    <row r="1946" spans="15:15" x14ac:dyDescent="0.35">
      <c r="O1946"/>
    </row>
    <row r="1947" spans="15:15" x14ac:dyDescent="0.35">
      <c r="O1947"/>
    </row>
    <row r="1948" spans="15:15" x14ac:dyDescent="0.35">
      <c r="O1948"/>
    </row>
    <row r="1949" spans="15:15" x14ac:dyDescent="0.35">
      <c r="O1949"/>
    </row>
    <row r="1950" spans="15:15" x14ac:dyDescent="0.35">
      <c r="O1950"/>
    </row>
    <row r="1951" spans="15:15" x14ac:dyDescent="0.35">
      <c r="O1951"/>
    </row>
    <row r="1952" spans="15:15" x14ac:dyDescent="0.35">
      <c r="O1952"/>
    </row>
    <row r="1953" spans="15:15" x14ac:dyDescent="0.35">
      <c r="O1953"/>
    </row>
    <row r="1954" spans="15:15" x14ac:dyDescent="0.35">
      <c r="O1954"/>
    </row>
    <row r="1955" spans="15:15" x14ac:dyDescent="0.35">
      <c r="O1955"/>
    </row>
    <row r="1956" spans="15:15" x14ac:dyDescent="0.35">
      <c r="O1956"/>
    </row>
    <row r="1957" spans="15:15" x14ac:dyDescent="0.35">
      <c r="O1957"/>
    </row>
    <row r="1958" spans="15:15" x14ac:dyDescent="0.35">
      <c r="O1958"/>
    </row>
    <row r="1959" spans="15:15" x14ac:dyDescent="0.35">
      <c r="O1959"/>
    </row>
    <row r="1960" spans="15:15" x14ac:dyDescent="0.35">
      <c r="O1960"/>
    </row>
    <row r="1961" spans="15:15" x14ac:dyDescent="0.35">
      <c r="O1961"/>
    </row>
    <row r="1962" spans="15:15" x14ac:dyDescent="0.35">
      <c r="O1962"/>
    </row>
    <row r="1963" spans="15:15" x14ac:dyDescent="0.35">
      <c r="O1963"/>
    </row>
    <row r="1964" spans="15:15" x14ac:dyDescent="0.35">
      <c r="O1964"/>
    </row>
    <row r="1965" spans="15:15" x14ac:dyDescent="0.35">
      <c r="O1965"/>
    </row>
    <row r="1966" spans="15:15" x14ac:dyDescent="0.35">
      <c r="O1966"/>
    </row>
    <row r="1967" spans="15:15" x14ac:dyDescent="0.35">
      <c r="O1967"/>
    </row>
    <row r="1968" spans="15:15" x14ac:dyDescent="0.35">
      <c r="O1968"/>
    </row>
    <row r="1969" spans="15:15" x14ac:dyDescent="0.35">
      <c r="O1969"/>
    </row>
    <row r="1970" spans="15:15" x14ac:dyDescent="0.35">
      <c r="O1970"/>
    </row>
    <row r="1971" spans="15:15" x14ac:dyDescent="0.35">
      <c r="O1971"/>
    </row>
    <row r="1972" spans="15:15" x14ac:dyDescent="0.35">
      <c r="O1972"/>
    </row>
    <row r="1973" spans="15:15" x14ac:dyDescent="0.35">
      <c r="O1973"/>
    </row>
    <row r="1974" spans="15:15" x14ac:dyDescent="0.35">
      <c r="O1974"/>
    </row>
    <row r="1975" spans="15:15" x14ac:dyDescent="0.35">
      <c r="O1975"/>
    </row>
    <row r="1976" spans="15:15" x14ac:dyDescent="0.35">
      <c r="O1976"/>
    </row>
    <row r="1977" spans="15:15" x14ac:dyDescent="0.35">
      <c r="O1977"/>
    </row>
    <row r="1978" spans="15:15" x14ac:dyDescent="0.35">
      <c r="O1978"/>
    </row>
    <row r="1979" spans="15:15" x14ac:dyDescent="0.35">
      <c r="O1979"/>
    </row>
    <row r="1980" spans="15:15" x14ac:dyDescent="0.35">
      <c r="O1980"/>
    </row>
    <row r="1981" spans="15:15" x14ac:dyDescent="0.35">
      <c r="O1981"/>
    </row>
    <row r="1982" spans="15:15" x14ac:dyDescent="0.35">
      <c r="O1982"/>
    </row>
    <row r="1983" spans="15:15" x14ac:dyDescent="0.35">
      <c r="O1983"/>
    </row>
    <row r="1984" spans="15:15" x14ac:dyDescent="0.35">
      <c r="O1984"/>
    </row>
    <row r="1985" spans="15:15" x14ac:dyDescent="0.35">
      <c r="O1985"/>
    </row>
    <row r="1986" spans="15:15" x14ac:dyDescent="0.35">
      <c r="O1986"/>
    </row>
    <row r="1987" spans="15:15" x14ac:dyDescent="0.35">
      <c r="O1987"/>
    </row>
    <row r="1988" spans="15:15" x14ac:dyDescent="0.35">
      <c r="O1988"/>
    </row>
    <row r="1989" spans="15:15" x14ac:dyDescent="0.35">
      <c r="O1989"/>
    </row>
    <row r="1990" spans="15:15" x14ac:dyDescent="0.35">
      <c r="O1990"/>
    </row>
    <row r="1991" spans="15:15" x14ac:dyDescent="0.35">
      <c r="O1991"/>
    </row>
    <row r="1992" spans="15:15" x14ac:dyDescent="0.35">
      <c r="O1992"/>
    </row>
    <row r="1993" spans="15:15" x14ac:dyDescent="0.35">
      <c r="O1993"/>
    </row>
    <row r="1994" spans="15:15" x14ac:dyDescent="0.35">
      <c r="O1994"/>
    </row>
    <row r="1995" spans="15:15" x14ac:dyDescent="0.35">
      <c r="O1995"/>
    </row>
    <row r="1996" spans="15:15" x14ac:dyDescent="0.35">
      <c r="O1996"/>
    </row>
    <row r="1997" spans="15:15" x14ac:dyDescent="0.35">
      <c r="O1997"/>
    </row>
    <row r="1998" spans="15:15" x14ac:dyDescent="0.35">
      <c r="O1998"/>
    </row>
    <row r="1999" spans="15:15" x14ac:dyDescent="0.35">
      <c r="O1999"/>
    </row>
    <row r="2000" spans="15:15" x14ac:dyDescent="0.35">
      <c r="O2000"/>
    </row>
    <row r="2001" spans="15:15" x14ac:dyDescent="0.35">
      <c r="O2001"/>
    </row>
    <row r="2002" spans="15:15" x14ac:dyDescent="0.35">
      <c r="O2002"/>
    </row>
    <row r="2003" spans="15:15" x14ac:dyDescent="0.35">
      <c r="O2003"/>
    </row>
    <row r="2004" spans="15:15" x14ac:dyDescent="0.35">
      <c r="O2004"/>
    </row>
    <row r="2005" spans="15:15" x14ac:dyDescent="0.35">
      <c r="O2005"/>
    </row>
    <row r="2006" spans="15:15" x14ac:dyDescent="0.35">
      <c r="O2006"/>
    </row>
    <row r="2007" spans="15:15" x14ac:dyDescent="0.35">
      <c r="O2007"/>
    </row>
    <row r="2008" spans="15:15" x14ac:dyDescent="0.35">
      <c r="O2008"/>
    </row>
    <row r="2009" spans="15:15" x14ac:dyDescent="0.35">
      <c r="O2009"/>
    </row>
    <row r="2010" spans="15:15" x14ac:dyDescent="0.35">
      <c r="O2010"/>
    </row>
    <row r="2011" spans="15:15" x14ac:dyDescent="0.35">
      <c r="O2011"/>
    </row>
    <row r="2012" spans="15:15" x14ac:dyDescent="0.35">
      <c r="O2012"/>
    </row>
    <row r="2013" spans="15:15" x14ac:dyDescent="0.35">
      <c r="O2013"/>
    </row>
    <row r="2014" spans="15:15" x14ac:dyDescent="0.35">
      <c r="O2014"/>
    </row>
    <row r="2015" spans="15:15" x14ac:dyDescent="0.35">
      <c r="O2015"/>
    </row>
    <row r="2016" spans="15:15" x14ac:dyDescent="0.35">
      <c r="O2016"/>
    </row>
    <row r="2017" spans="15:15" x14ac:dyDescent="0.35">
      <c r="O2017"/>
    </row>
    <row r="2018" spans="15:15" x14ac:dyDescent="0.35">
      <c r="O2018"/>
    </row>
    <row r="2019" spans="15:15" x14ac:dyDescent="0.35">
      <c r="O2019"/>
    </row>
    <row r="2020" spans="15:15" x14ac:dyDescent="0.35">
      <c r="O2020"/>
    </row>
    <row r="2021" spans="15:15" x14ac:dyDescent="0.35">
      <c r="O2021"/>
    </row>
    <row r="2022" spans="15:15" x14ac:dyDescent="0.35">
      <c r="O2022"/>
    </row>
    <row r="2023" spans="15:15" x14ac:dyDescent="0.35">
      <c r="O2023"/>
    </row>
    <row r="2024" spans="15:15" x14ac:dyDescent="0.35">
      <c r="O2024"/>
    </row>
    <row r="2025" spans="15:15" x14ac:dyDescent="0.35">
      <c r="O2025"/>
    </row>
    <row r="2026" spans="15:15" x14ac:dyDescent="0.35">
      <c r="O2026"/>
    </row>
    <row r="2027" spans="15:15" x14ac:dyDescent="0.35">
      <c r="O2027"/>
    </row>
    <row r="2028" spans="15:15" x14ac:dyDescent="0.35">
      <c r="O2028"/>
    </row>
    <row r="2029" spans="15:15" x14ac:dyDescent="0.35">
      <c r="O2029"/>
    </row>
    <row r="2030" spans="15:15" x14ac:dyDescent="0.35">
      <c r="O2030"/>
    </row>
    <row r="2031" spans="15:15" x14ac:dyDescent="0.35">
      <c r="O2031"/>
    </row>
    <row r="2032" spans="15:15" x14ac:dyDescent="0.35">
      <c r="O2032"/>
    </row>
    <row r="2033" spans="15:15" x14ac:dyDescent="0.35">
      <c r="O2033"/>
    </row>
    <row r="2034" spans="15:15" x14ac:dyDescent="0.35">
      <c r="O2034"/>
    </row>
    <row r="2035" spans="15:15" x14ac:dyDescent="0.35">
      <c r="O2035"/>
    </row>
    <row r="2036" spans="15:15" x14ac:dyDescent="0.35">
      <c r="O2036"/>
    </row>
    <row r="2037" spans="15:15" x14ac:dyDescent="0.35">
      <c r="O2037"/>
    </row>
    <row r="2038" spans="15:15" x14ac:dyDescent="0.35">
      <c r="O2038"/>
    </row>
    <row r="2039" spans="15:15" x14ac:dyDescent="0.35">
      <c r="O2039"/>
    </row>
    <row r="2040" spans="15:15" x14ac:dyDescent="0.35">
      <c r="O2040"/>
    </row>
    <row r="2041" spans="15:15" x14ac:dyDescent="0.35">
      <c r="O2041"/>
    </row>
    <row r="2042" spans="15:15" x14ac:dyDescent="0.35">
      <c r="O2042"/>
    </row>
    <row r="2043" spans="15:15" x14ac:dyDescent="0.35">
      <c r="O2043"/>
    </row>
    <row r="2044" spans="15:15" x14ac:dyDescent="0.35">
      <c r="O2044"/>
    </row>
    <row r="2045" spans="15:15" x14ac:dyDescent="0.35">
      <c r="O2045"/>
    </row>
    <row r="2046" spans="15:15" x14ac:dyDescent="0.35">
      <c r="O2046"/>
    </row>
    <row r="2047" spans="15:15" x14ac:dyDescent="0.35">
      <c r="O2047"/>
    </row>
    <row r="2048" spans="15:15" x14ac:dyDescent="0.35">
      <c r="O2048"/>
    </row>
    <row r="2049" spans="15:15" x14ac:dyDescent="0.35">
      <c r="O2049"/>
    </row>
    <row r="2050" spans="15:15" x14ac:dyDescent="0.35">
      <c r="O2050"/>
    </row>
    <row r="2051" spans="15:15" x14ac:dyDescent="0.35">
      <c r="O2051"/>
    </row>
    <row r="2052" spans="15:15" x14ac:dyDescent="0.35">
      <c r="O2052"/>
    </row>
    <row r="2053" spans="15:15" x14ac:dyDescent="0.35">
      <c r="O2053"/>
    </row>
    <row r="2054" spans="15:15" x14ac:dyDescent="0.35">
      <c r="O2054"/>
    </row>
    <row r="2055" spans="15:15" x14ac:dyDescent="0.35">
      <c r="O2055"/>
    </row>
    <row r="2056" spans="15:15" x14ac:dyDescent="0.35">
      <c r="O2056"/>
    </row>
    <row r="2057" spans="15:15" x14ac:dyDescent="0.35">
      <c r="O2057"/>
    </row>
    <row r="2058" spans="15:15" x14ac:dyDescent="0.35">
      <c r="O2058"/>
    </row>
    <row r="2059" spans="15:15" x14ac:dyDescent="0.35">
      <c r="O2059"/>
    </row>
    <row r="2060" spans="15:15" x14ac:dyDescent="0.35">
      <c r="O2060"/>
    </row>
    <row r="2061" spans="15:15" x14ac:dyDescent="0.35">
      <c r="O2061"/>
    </row>
    <row r="2062" spans="15:15" x14ac:dyDescent="0.35">
      <c r="O2062"/>
    </row>
    <row r="2063" spans="15:15" x14ac:dyDescent="0.35">
      <c r="O2063"/>
    </row>
    <row r="2064" spans="15:15" x14ac:dyDescent="0.35">
      <c r="O2064"/>
    </row>
    <row r="2065" spans="15:15" x14ac:dyDescent="0.35">
      <c r="O2065"/>
    </row>
    <row r="2066" spans="15:15" x14ac:dyDescent="0.35">
      <c r="O2066"/>
    </row>
    <row r="2067" spans="15:15" x14ac:dyDescent="0.35">
      <c r="O2067"/>
    </row>
    <row r="2068" spans="15:15" x14ac:dyDescent="0.35">
      <c r="O2068"/>
    </row>
    <row r="2069" spans="15:15" x14ac:dyDescent="0.35">
      <c r="O2069"/>
    </row>
    <row r="2070" spans="15:15" x14ac:dyDescent="0.35">
      <c r="O2070"/>
    </row>
    <row r="2071" spans="15:15" x14ac:dyDescent="0.35">
      <c r="O2071"/>
    </row>
    <row r="2072" spans="15:15" x14ac:dyDescent="0.35">
      <c r="O2072"/>
    </row>
    <row r="2073" spans="15:15" x14ac:dyDescent="0.35">
      <c r="O2073"/>
    </row>
    <row r="2074" spans="15:15" x14ac:dyDescent="0.35">
      <c r="O2074"/>
    </row>
    <row r="2075" spans="15:15" x14ac:dyDescent="0.35">
      <c r="O2075"/>
    </row>
    <row r="2076" spans="15:15" x14ac:dyDescent="0.35">
      <c r="O2076"/>
    </row>
    <row r="2077" spans="15:15" x14ac:dyDescent="0.35">
      <c r="O2077"/>
    </row>
    <row r="2078" spans="15:15" x14ac:dyDescent="0.35">
      <c r="O2078"/>
    </row>
    <row r="2079" spans="15:15" x14ac:dyDescent="0.35">
      <c r="O2079"/>
    </row>
    <row r="2080" spans="15:15" x14ac:dyDescent="0.35">
      <c r="O2080"/>
    </row>
    <row r="2081" spans="15:15" x14ac:dyDescent="0.35">
      <c r="O2081"/>
    </row>
    <row r="2082" spans="15:15" x14ac:dyDescent="0.35">
      <c r="O2082"/>
    </row>
    <row r="2083" spans="15:15" x14ac:dyDescent="0.35">
      <c r="O2083"/>
    </row>
    <row r="2084" spans="15:15" x14ac:dyDescent="0.35">
      <c r="O2084"/>
    </row>
    <row r="2085" spans="15:15" x14ac:dyDescent="0.35">
      <c r="O2085"/>
    </row>
    <row r="2086" spans="15:15" x14ac:dyDescent="0.35">
      <c r="O2086"/>
    </row>
    <row r="2087" spans="15:15" x14ac:dyDescent="0.35">
      <c r="O2087"/>
    </row>
    <row r="2088" spans="15:15" x14ac:dyDescent="0.35">
      <c r="O2088"/>
    </row>
    <row r="2089" spans="15:15" x14ac:dyDescent="0.35">
      <c r="O2089"/>
    </row>
    <row r="2090" spans="15:15" x14ac:dyDescent="0.35">
      <c r="O2090"/>
    </row>
    <row r="2091" spans="15:15" x14ac:dyDescent="0.35">
      <c r="O2091"/>
    </row>
    <row r="2092" spans="15:15" x14ac:dyDescent="0.35">
      <c r="O2092"/>
    </row>
    <row r="2093" spans="15:15" x14ac:dyDescent="0.35">
      <c r="O2093"/>
    </row>
    <row r="2094" spans="15:15" x14ac:dyDescent="0.35">
      <c r="O2094"/>
    </row>
    <row r="2095" spans="15:15" x14ac:dyDescent="0.35">
      <c r="O2095"/>
    </row>
    <row r="2096" spans="15:15" x14ac:dyDescent="0.35">
      <c r="O2096"/>
    </row>
    <row r="2097" spans="15:15" x14ac:dyDescent="0.35">
      <c r="O2097"/>
    </row>
    <row r="2098" spans="15:15" x14ac:dyDescent="0.35">
      <c r="O2098"/>
    </row>
    <row r="2099" spans="15:15" x14ac:dyDescent="0.35">
      <c r="O2099"/>
    </row>
    <row r="2100" spans="15:15" x14ac:dyDescent="0.35">
      <c r="O2100"/>
    </row>
    <row r="2101" spans="15:15" x14ac:dyDescent="0.35">
      <c r="O2101"/>
    </row>
    <row r="2102" spans="15:15" x14ac:dyDescent="0.35">
      <c r="O2102"/>
    </row>
    <row r="2103" spans="15:15" x14ac:dyDescent="0.35">
      <c r="O2103"/>
    </row>
    <row r="2104" spans="15:15" x14ac:dyDescent="0.35">
      <c r="O2104"/>
    </row>
    <row r="2105" spans="15:15" x14ac:dyDescent="0.35">
      <c r="O2105"/>
    </row>
    <row r="2106" spans="15:15" x14ac:dyDescent="0.35">
      <c r="O2106"/>
    </row>
    <row r="2107" spans="15:15" x14ac:dyDescent="0.35">
      <c r="O2107"/>
    </row>
    <row r="2108" spans="15:15" x14ac:dyDescent="0.35">
      <c r="O2108"/>
    </row>
    <row r="2109" spans="15:15" x14ac:dyDescent="0.35">
      <c r="O2109"/>
    </row>
    <row r="2110" spans="15:15" x14ac:dyDescent="0.35">
      <c r="O2110"/>
    </row>
    <row r="2111" spans="15:15" x14ac:dyDescent="0.35">
      <c r="O2111"/>
    </row>
    <row r="2112" spans="15:15" x14ac:dyDescent="0.35">
      <c r="O2112"/>
    </row>
    <row r="2113" spans="15:15" x14ac:dyDescent="0.35">
      <c r="O2113"/>
    </row>
    <row r="2114" spans="15:15" x14ac:dyDescent="0.35">
      <c r="O2114"/>
    </row>
    <row r="2115" spans="15:15" x14ac:dyDescent="0.35">
      <c r="O2115"/>
    </row>
    <row r="2116" spans="15:15" x14ac:dyDescent="0.35">
      <c r="O2116"/>
    </row>
    <row r="2117" spans="15:15" x14ac:dyDescent="0.35">
      <c r="O2117"/>
    </row>
    <row r="2118" spans="15:15" x14ac:dyDescent="0.35">
      <c r="O2118"/>
    </row>
    <row r="2119" spans="15:15" x14ac:dyDescent="0.35">
      <c r="O2119"/>
    </row>
    <row r="2120" spans="15:15" x14ac:dyDescent="0.35">
      <c r="O2120"/>
    </row>
    <row r="2121" spans="15:15" x14ac:dyDescent="0.35">
      <c r="O2121"/>
    </row>
    <row r="2122" spans="15:15" x14ac:dyDescent="0.35">
      <c r="O2122"/>
    </row>
    <row r="2123" spans="15:15" x14ac:dyDescent="0.35">
      <c r="O2123"/>
    </row>
    <row r="2124" spans="15:15" x14ac:dyDescent="0.35">
      <c r="O2124"/>
    </row>
    <row r="2125" spans="15:15" x14ac:dyDescent="0.35">
      <c r="O2125"/>
    </row>
    <row r="2126" spans="15:15" x14ac:dyDescent="0.35">
      <c r="O2126"/>
    </row>
    <row r="2127" spans="15:15" x14ac:dyDescent="0.35">
      <c r="O2127"/>
    </row>
    <row r="2128" spans="15:15" x14ac:dyDescent="0.35">
      <c r="O2128"/>
    </row>
    <row r="1048576" spans="16:16" x14ac:dyDescent="0.35">
      <c r="P1048576" s="18"/>
    </row>
  </sheetData>
  <autoFilter ref="A1:AT18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6"/>
  <sheetViews>
    <sheetView zoomScaleNormal="100" workbookViewId="0"/>
  </sheetViews>
  <sheetFormatPr baseColWidth="10" defaultRowHeight="14.5" x14ac:dyDescent="0.35"/>
  <cols>
    <col min="1" max="1" width="9.81640625" bestFit="1" customWidth="1"/>
    <col min="2" max="2" width="20.26953125" bestFit="1" customWidth="1"/>
    <col min="3" max="3" width="18.54296875" bestFit="1" customWidth="1"/>
    <col min="4" max="4" width="18.54296875" customWidth="1"/>
    <col min="5" max="5" width="12.7265625" bestFit="1" customWidth="1"/>
    <col min="6" max="6" width="15.81640625" bestFit="1" customWidth="1"/>
    <col min="7" max="7" width="14.26953125" bestFit="1" customWidth="1"/>
    <col min="8" max="8" width="12.81640625" bestFit="1" customWidth="1"/>
    <col min="9" max="9" width="23.453125" bestFit="1" customWidth="1"/>
    <col min="10" max="11" width="16.453125" bestFit="1" customWidth="1"/>
    <col min="12" max="12" width="10.26953125" bestFit="1" customWidth="1"/>
    <col min="13" max="13" width="14.26953125" bestFit="1" customWidth="1"/>
    <col min="14" max="14" width="14.26953125" customWidth="1"/>
    <col min="15" max="15" width="17.453125" style="13" bestFit="1" customWidth="1"/>
    <col min="19" max="19" width="11.453125" style="20"/>
  </cols>
  <sheetData>
    <row r="1" spans="1:53" s="11" customFormat="1" ht="73.5" x14ac:dyDescent="0.3">
      <c r="A1" s="1" t="s">
        <v>0</v>
      </c>
      <c r="B1" s="2" t="s">
        <v>1</v>
      </c>
      <c r="C1" s="2" t="s">
        <v>31</v>
      </c>
      <c r="D1" s="3" t="s">
        <v>72</v>
      </c>
      <c r="E1" s="2" t="s">
        <v>32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33</v>
      </c>
      <c r="N1" s="2" t="s">
        <v>73</v>
      </c>
      <c r="O1" s="12" t="s">
        <v>74</v>
      </c>
      <c r="P1" s="3" t="s">
        <v>9</v>
      </c>
      <c r="Q1" s="10" t="s">
        <v>75</v>
      </c>
      <c r="R1" s="5" t="s">
        <v>39</v>
      </c>
      <c r="S1" s="19" t="s">
        <v>40</v>
      </c>
      <c r="T1" s="5" t="s">
        <v>41</v>
      </c>
      <c r="U1" s="5" t="s">
        <v>42</v>
      </c>
      <c r="V1" s="5" t="s">
        <v>43</v>
      </c>
      <c r="W1" s="5" t="s">
        <v>44</v>
      </c>
      <c r="X1" s="5" t="s">
        <v>45</v>
      </c>
      <c r="Y1" s="5" t="s">
        <v>46</v>
      </c>
      <c r="Z1" s="5" t="s">
        <v>47</v>
      </c>
      <c r="AA1" s="5" t="s">
        <v>48</v>
      </c>
      <c r="AB1" s="5" t="s">
        <v>49</v>
      </c>
      <c r="AC1" s="4" t="s">
        <v>50</v>
      </c>
      <c r="AD1" s="4" t="s">
        <v>51</v>
      </c>
      <c r="AE1" s="4" t="s">
        <v>52</v>
      </c>
      <c r="AF1" s="4" t="s">
        <v>53</v>
      </c>
      <c r="AG1" s="4" t="s">
        <v>54</v>
      </c>
      <c r="AH1" s="6" t="s">
        <v>55</v>
      </c>
      <c r="AI1" s="6" t="s">
        <v>56</v>
      </c>
      <c r="AJ1" s="6" t="s">
        <v>57</v>
      </c>
      <c r="AK1" s="6" t="s">
        <v>58</v>
      </c>
      <c r="AL1" s="6" t="s">
        <v>59</v>
      </c>
      <c r="AM1" s="6" t="s">
        <v>60</v>
      </c>
      <c r="AN1" s="6" t="s">
        <v>61</v>
      </c>
      <c r="AO1" s="6" t="s">
        <v>62</v>
      </c>
      <c r="AP1" s="4" t="s">
        <v>63</v>
      </c>
      <c r="AQ1" s="4" t="s">
        <v>64</v>
      </c>
      <c r="AR1" s="4" t="s">
        <v>65</v>
      </c>
      <c r="AS1" s="4" t="s">
        <v>66</v>
      </c>
      <c r="AT1" s="4" t="s">
        <v>67</v>
      </c>
      <c r="AU1" s="7" t="s">
        <v>68</v>
      </c>
      <c r="AW1" s="4" t="s">
        <v>64</v>
      </c>
      <c r="AX1" s="6" t="s">
        <v>56</v>
      </c>
      <c r="AY1" s="6" t="s">
        <v>58</v>
      </c>
      <c r="AZ1" s="6" t="s">
        <v>60</v>
      </c>
      <c r="BA1" s="4" t="s">
        <v>66</v>
      </c>
    </row>
    <row r="2" spans="1:53" x14ac:dyDescent="0.35">
      <c r="A2" s="14"/>
      <c r="B2" s="15"/>
      <c r="C2" s="15"/>
      <c r="D2" s="21"/>
      <c r="E2" s="15"/>
      <c r="F2" s="15"/>
      <c r="G2" s="15"/>
      <c r="H2" s="16"/>
      <c r="I2" s="15"/>
      <c r="J2" s="15"/>
      <c r="K2" s="15"/>
      <c r="L2" s="15"/>
      <c r="M2" s="15"/>
      <c r="N2" s="15"/>
      <c r="O2" s="17"/>
      <c r="P2" s="9"/>
      <c r="Q2" s="18">
        <v>409.89</v>
      </c>
      <c r="R2" s="8">
        <v>500</v>
      </c>
      <c r="S2" s="22">
        <v>0</v>
      </c>
      <c r="T2" s="23">
        <v>0</v>
      </c>
      <c r="U2" s="22">
        <v>0</v>
      </c>
      <c r="V2" s="23">
        <v>0</v>
      </c>
      <c r="W2" s="24">
        <f t="shared" ref="W2:W3" si="0">X2*Q2*P2</f>
        <v>0</v>
      </c>
      <c r="X2" s="23">
        <v>0</v>
      </c>
      <c r="Y2" s="22">
        <v>0</v>
      </c>
      <c r="Z2" s="23">
        <v>0</v>
      </c>
      <c r="AA2" s="24">
        <f t="shared" ref="AA2:AA3" si="1">AB2*P2*R2</f>
        <v>0</v>
      </c>
      <c r="AB2" s="23">
        <v>0</v>
      </c>
      <c r="AC2" s="25">
        <f t="shared" ref="AC2:AC6" si="2">W2</f>
        <v>0</v>
      </c>
      <c r="AD2" s="26" t="e">
        <f t="shared" ref="AD2:AD6" si="3">AC2/(Q2*P2)</f>
        <v>#DIV/0!</v>
      </c>
      <c r="AE2" s="24">
        <f t="shared" ref="AE2:AE6" si="4">AA2</f>
        <v>0</v>
      </c>
      <c r="AF2" s="27" t="e">
        <f t="shared" ref="AF2:AF6" si="5">AE2/(Q2*P2)</f>
        <v>#DIV/0!</v>
      </c>
      <c r="AG2" s="24">
        <f t="shared" ref="AG2:AG3" si="6">Z2+AB2</f>
        <v>0</v>
      </c>
      <c r="AH2" s="24">
        <f t="shared" ref="AH2:AH3" si="7">AI2*Q2*P2</f>
        <v>0</v>
      </c>
      <c r="AI2" s="23">
        <v>3.82E-3</v>
      </c>
      <c r="AJ2" s="24">
        <f t="shared" ref="AJ2:AJ6" si="8">AK2*Q2*P2</f>
        <v>0</v>
      </c>
      <c r="AK2" s="32">
        <v>3.6000000000000002E-4</v>
      </c>
      <c r="AL2" s="24">
        <f t="shared" ref="AL2:AL6" si="9">AM2*Q2*P2</f>
        <v>0</v>
      </c>
      <c r="AM2" s="23">
        <v>0</v>
      </c>
      <c r="AN2" s="22">
        <v>0</v>
      </c>
      <c r="AO2" s="28">
        <v>0</v>
      </c>
      <c r="AP2" s="24">
        <f t="shared" ref="AP2:AP6" si="10">AA2+AH2+AJ2+AL2</f>
        <v>0</v>
      </c>
      <c r="AQ2" s="26" t="e">
        <f t="shared" ref="AQ2:AQ3" si="11">AP2/(P2*Q2)</f>
        <v>#DIV/0!</v>
      </c>
      <c r="AR2" s="24">
        <f t="shared" ref="AR2:AR3" si="12">AC2+AP2</f>
        <v>0</v>
      </c>
      <c r="AS2" s="26" t="e">
        <f t="shared" ref="AS2:AS6" si="13">AR2/(Q2*P2)</f>
        <v>#DIV/0!</v>
      </c>
      <c r="AT2" s="25">
        <f t="shared" ref="AT2:AT6" si="14">W2</f>
        <v>0</v>
      </c>
      <c r="AU2" s="27" t="e">
        <f t="shared" ref="AU2:AU6" si="15">AT2/(Q2*P2)</f>
        <v>#DIV/0!</v>
      </c>
      <c r="AW2" s="29"/>
      <c r="AX2" s="30"/>
      <c r="AY2" s="30"/>
      <c r="AZ2" s="30"/>
      <c r="BA2" s="29"/>
    </row>
    <row r="3" spans="1:53" x14ac:dyDescent="0.35">
      <c r="A3" s="14"/>
      <c r="B3" s="15"/>
      <c r="C3" s="15"/>
      <c r="D3" s="21"/>
      <c r="E3" s="15"/>
      <c r="F3" s="15"/>
      <c r="G3" s="15"/>
      <c r="H3" s="16"/>
      <c r="I3" s="15"/>
      <c r="J3" s="15"/>
      <c r="K3" s="15"/>
      <c r="L3" s="15"/>
      <c r="M3" s="15"/>
      <c r="N3" s="15"/>
      <c r="O3" s="17"/>
      <c r="P3" s="9"/>
      <c r="Q3" s="18">
        <v>409.89</v>
      </c>
      <c r="R3" s="8">
        <v>500</v>
      </c>
      <c r="S3" s="22">
        <v>0</v>
      </c>
      <c r="T3" s="23">
        <v>0</v>
      </c>
      <c r="U3" s="22">
        <v>0</v>
      </c>
      <c r="V3" s="23">
        <v>0</v>
      </c>
      <c r="W3" s="24">
        <f t="shared" si="0"/>
        <v>0</v>
      </c>
      <c r="X3" s="23">
        <v>0</v>
      </c>
      <c r="Y3" s="22">
        <v>0</v>
      </c>
      <c r="Z3" s="23">
        <v>0</v>
      </c>
      <c r="AA3" s="24">
        <f t="shared" si="1"/>
        <v>0</v>
      </c>
      <c r="AB3" s="23">
        <v>0</v>
      </c>
      <c r="AC3" s="25">
        <f t="shared" si="2"/>
        <v>0</v>
      </c>
      <c r="AD3" s="26" t="e">
        <f t="shared" si="3"/>
        <v>#DIV/0!</v>
      </c>
      <c r="AE3" s="24">
        <f t="shared" si="4"/>
        <v>0</v>
      </c>
      <c r="AF3" s="27" t="e">
        <f t="shared" si="5"/>
        <v>#DIV/0!</v>
      </c>
      <c r="AG3" s="24">
        <f t="shared" si="6"/>
        <v>0</v>
      </c>
      <c r="AH3" s="24">
        <f t="shared" si="7"/>
        <v>0</v>
      </c>
      <c r="AI3" s="23">
        <v>3.82E-3</v>
      </c>
      <c r="AJ3" s="24">
        <f t="shared" si="8"/>
        <v>0</v>
      </c>
      <c r="AK3" s="32">
        <v>3.6000000000000002E-4</v>
      </c>
      <c r="AL3" s="24">
        <f t="shared" si="9"/>
        <v>0</v>
      </c>
      <c r="AM3" s="23">
        <v>0</v>
      </c>
      <c r="AN3" s="22">
        <v>0</v>
      </c>
      <c r="AO3" s="28">
        <v>0</v>
      </c>
      <c r="AP3" s="24">
        <f t="shared" si="10"/>
        <v>0</v>
      </c>
      <c r="AQ3" s="26" t="e">
        <f t="shared" si="11"/>
        <v>#DIV/0!</v>
      </c>
      <c r="AR3" s="24">
        <f t="shared" si="12"/>
        <v>0</v>
      </c>
      <c r="AS3" s="26" t="e">
        <f t="shared" si="13"/>
        <v>#DIV/0!</v>
      </c>
      <c r="AT3" s="25">
        <f t="shared" si="14"/>
        <v>0</v>
      </c>
      <c r="AU3" s="27" t="e">
        <f t="shared" si="15"/>
        <v>#DIV/0!</v>
      </c>
      <c r="AW3" s="29"/>
      <c r="AX3" s="30"/>
      <c r="AY3" s="30"/>
      <c r="AZ3" s="30"/>
      <c r="BA3" s="29"/>
    </row>
    <row r="4" spans="1:53" x14ac:dyDescent="0.35">
      <c r="A4" s="14"/>
      <c r="B4" s="15"/>
      <c r="C4" s="15"/>
      <c r="D4" s="21"/>
      <c r="E4" s="15"/>
      <c r="F4" s="15"/>
      <c r="G4" s="15"/>
      <c r="H4" s="16"/>
      <c r="I4" s="15"/>
      <c r="J4" s="15"/>
      <c r="K4" s="15"/>
      <c r="L4" s="15"/>
      <c r="M4" s="15"/>
      <c r="N4" s="15"/>
      <c r="O4" s="17"/>
      <c r="P4" s="9"/>
      <c r="Q4" s="18">
        <v>423.69</v>
      </c>
      <c r="R4" s="8">
        <v>500</v>
      </c>
      <c r="S4" s="22">
        <v>0</v>
      </c>
      <c r="T4" s="23">
        <v>0</v>
      </c>
      <c r="U4" s="22">
        <v>0</v>
      </c>
      <c r="V4" s="23">
        <v>0</v>
      </c>
      <c r="W4" s="24">
        <f>X4*Q4*P4</f>
        <v>0</v>
      </c>
      <c r="X4" s="23">
        <v>0</v>
      </c>
      <c r="Y4" s="22">
        <v>0</v>
      </c>
      <c r="Z4" s="23">
        <v>0</v>
      </c>
      <c r="AA4" s="24">
        <f>AB4*P4*R4</f>
        <v>0</v>
      </c>
      <c r="AB4" s="23">
        <v>0</v>
      </c>
      <c r="AC4" s="25">
        <f t="shared" si="2"/>
        <v>0</v>
      </c>
      <c r="AD4" s="26" t="e">
        <f t="shared" si="3"/>
        <v>#DIV/0!</v>
      </c>
      <c r="AE4" s="24">
        <f t="shared" si="4"/>
        <v>0</v>
      </c>
      <c r="AF4" s="27" t="e">
        <f t="shared" si="5"/>
        <v>#DIV/0!</v>
      </c>
      <c r="AG4" s="24">
        <f>Z4+AB4</f>
        <v>0</v>
      </c>
      <c r="AH4" s="24">
        <f>AI4*Q4*P4</f>
        <v>0</v>
      </c>
      <c r="AI4" s="23">
        <v>4.79E-3</v>
      </c>
      <c r="AJ4" s="24">
        <f t="shared" si="8"/>
        <v>0</v>
      </c>
      <c r="AK4" s="23">
        <v>3.5899999999999999E-3</v>
      </c>
      <c r="AL4" s="24">
        <f t="shared" si="9"/>
        <v>0</v>
      </c>
      <c r="AM4" s="23">
        <v>0</v>
      </c>
      <c r="AN4" s="22">
        <v>0</v>
      </c>
      <c r="AO4" s="28">
        <v>0</v>
      </c>
      <c r="AP4" s="24">
        <f t="shared" si="10"/>
        <v>0</v>
      </c>
      <c r="AQ4" s="26" t="e">
        <f>AP4/(P4*Q4)</f>
        <v>#DIV/0!</v>
      </c>
      <c r="AR4" s="24">
        <f>AC4+AP4</f>
        <v>0</v>
      </c>
      <c r="AS4" s="26" t="e">
        <f t="shared" si="13"/>
        <v>#DIV/0!</v>
      </c>
      <c r="AT4" s="25">
        <f t="shared" si="14"/>
        <v>0</v>
      </c>
      <c r="AU4" s="27" t="e">
        <f t="shared" si="15"/>
        <v>#DIV/0!</v>
      </c>
      <c r="AW4" s="29"/>
      <c r="AX4" s="30"/>
      <c r="AY4" s="30"/>
      <c r="AZ4" s="30"/>
      <c r="BA4" s="29"/>
    </row>
    <row r="5" spans="1:53" x14ac:dyDescent="0.35">
      <c r="A5" s="14"/>
      <c r="B5" s="15"/>
      <c r="C5" s="15"/>
      <c r="D5" s="21"/>
      <c r="E5" s="15"/>
      <c r="F5" s="15"/>
      <c r="G5" s="15"/>
      <c r="H5" s="16"/>
      <c r="I5" s="15"/>
      <c r="J5" s="15"/>
      <c r="K5" s="15"/>
      <c r="L5" s="15"/>
      <c r="M5" s="15"/>
      <c r="N5" s="15"/>
      <c r="O5" s="17"/>
      <c r="P5" s="9"/>
      <c r="Q5" s="18">
        <v>417.07</v>
      </c>
      <c r="R5" s="8">
        <v>500</v>
      </c>
      <c r="S5" s="22">
        <v>0</v>
      </c>
      <c r="T5" s="23">
        <v>0</v>
      </c>
      <c r="U5" s="22">
        <v>0</v>
      </c>
      <c r="V5" s="23">
        <v>0</v>
      </c>
      <c r="W5" s="24">
        <f t="shared" ref="W5" si="16">X5*Q5*P5</f>
        <v>0</v>
      </c>
      <c r="X5" s="23">
        <v>0</v>
      </c>
      <c r="Y5" s="22">
        <v>0</v>
      </c>
      <c r="Z5" s="23">
        <v>0</v>
      </c>
      <c r="AA5" s="24">
        <f t="shared" ref="AA5:AA6" si="17">AB5*P5*R5</f>
        <v>0</v>
      </c>
      <c r="AB5" s="23">
        <v>0</v>
      </c>
      <c r="AC5" s="25">
        <f t="shared" si="2"/>
        <v>0</v>
      </c>
      <c r="AD5" s="26" t="e">
        <f t="shared" si="3"/>
        <v>#DIV/0!</v>
      </c>
      <c r="AE5" s="24">
        <f t="shared" si="4"/>
        <v>0</v>
      </c>
      <c r="AF5" s="27" t="e">
        <f t="shared" si="5"/>
        <v>#DIV/0!</v>
      </c>
      <c r="AG5" s="24">
        <f t="shared" ref="AG5:AG6" si="18">Z5+AB5</f>
        <v>0</v>
      </c>
      <c r="AH5" s="24">
        <f t="shared" ref="AH5:AH6" si="19">AI5*Q5*P5</f>
        <v>0</v>
      </c>
      <c r="AI5" s="31">
        <v>3.79E-3</v>
      </c>
      <c r="AJ5" s="24">
        <f t="shared" si="8"/>
        <v>0</v>
      </c>
      <c r="AK5" s="23">
        <v>5.4099999999999999E-3</v>
      </c>
      <c r="AL5" s="24">
        <f t="shared" si="9"/>
        <v>0</v>
      </c>
      <c r="AM5" s="32">
        <v>8.0000000000000007E-5</v>
      </c>
      <c r="AN5" s="22">
        <v>0</v>
      </c>
      <c r="AO5" s="33">
        <v>0</v>
      </c>
      <c r="AP5" s="24">
        <f t="shared" si="10"/>
        <v>0</v>
      </c>
      <c r="AQ5" s="26" t="e">
        <f t="shared" ref="AQ5:AQ6" si="20">AP5/(P5*Q5)</f>
        <v>#DIV/0!</v>
      </c>
      <c r="AR5" s="24">
        <f t="shared" ref="AR5:AR6" si="21">AC5+AP5</f>
        <v>0</v>
      </c>
      <c r="AS5" s="26" t="e">
        <f t="shared" si="13"/>
        <v>#DIV/0!</v>
      </c>
      <c r="AT5" s="25">
        <f t="shared" si="14"/>
        <v>0</v>
      </c>
      <c r="AU5" s="27" t="e">
        <f t="shared" si="15"/>
        <v>#DIV/0!</v>
      </c>
      <c r="AW5" s="29"/>
      <c r="AX5" s="30"/>
      <c r="AY5" s="30"/>
      <c r="AZ5" s="30"/>
      <c r="BA5" s="29"/>
    </row>
    <row r="6" spans="1:53" x14ac:dyDescent="0.35">
      <c r="A6" s="14"/>
      <c r="B6" s="15"/>
      <c r="C6" s="15"/>
      <c r="D6" s="21"/>
      <c r="E6" s="15"/>
      <c r="F6" s="15"/>
      <c r="G6" s="15"/>
      <c r="H6" s="16"/>
      <c r="I6" s="15"/>
      <c r="J6" s="15"/>
      <c r="K6" s="15"/>
      <c r="L6" s="15"/>
      <c r="M6" s="15"/>
      <c r="N6" s="15"/>
      <c r="O6" s="17"/>
      <c r="P6" s="9"/>
      <c r="Q6" s="18">
        <v>414.08</v>
      </c>
      <c r="R6" s="8">
        <v>500</v>
      </c>
      <c r="S6" s="22">
        <v>0</v>
      </c>
      <c r="T6" s="23">
        <v>0</v>
      </c>
      <c r="U6" s="22">
        <v>0</v>
      </c>
      <c r="V6" s="23">
        <v>0</v>
      </c>
      <c r="W6" s="24">
        <f>X6*R6*P6</f>
        <v>0</v>
      </c>
      <c r="X6" s="23">
        <v>5.5E-2</v>
      </c>
      <c r="Y6" s="22">
        <v>0</v>
      </c>
      <c r="Z6" s="23">
        <v>0</v>
      </c>
      <c r="AA6" s="24">
        <f t="shared" si="17"/>
        <v>0</v>
      </c>
      <c r="AB6" s="23">
        <v>6.5000000000000002E-2</v>
      </c>
      <c r="AC6" s="25">
        <f t="shared" si="2"/>
        <v>0</v>
      </c>
      <c r="AD6" s="26" t="e">
        <f t="shared" si="3"/>
        <v>#DIV/0!</v>
      </c>
      <c r="AE6" s="24">
        <f t="shared" si="4"/>
        <v>0</v>
      </c>
      <c r="AF6" s="27" t="e">
        <f t="shared" si="5"/>
        <v>#DIV/0!</v>
      </c>
      <c r="AG6" s="24">
        <f t="shared" si="18"/>
        <v>6.5000000000000002E-2</v>
      </c>
      <c r="AH6" s="24">
        <f t="shared" si="19"/>
        <v>0</v>
      </c>
      <c r="AI6" s="34">
        <v>2.5999999999999998E-4</v>
      </c>
      <c r="AJ6" s="24">
        <f t="shared" si="8"/>
        <v>0</v>
      </c>
      <c r="AK6" s="32">
        <v>3.1099999999999999E-3</v>
      </c>
      <c r="AL6" s="24">
        <f t="shared" si="9"/>
        <v>0</v>
      </c>
      <c r="AM6" s="23">
        <v>1.3299999999999999E-2</v>
      </c>
      <c r="AN6" s="22">
        <v>0</v>
      </c>
      <c r="AO6" s="33">
        <v>0</v>
      </c>
      <c r="AP6" s="24">
        <f t="shared" si="10"/>
        <v>0</v>
      </c>
      <c r="AQ6" s="26" t="e">
        <f t="shared" si="20"/>
        <v>#DIV/0!</v>
      </c>
      <c r="AR6" s="24">
        <f t="shared" si="21"/>
        <v>0</v>
      </c>
      <c r="AS6" s="26" t="e">
        <f t="shared" si="13"/>
        <v>#DIV/0!</v>
      </c>
      <c r="AT6" s="25">
        <f t="shared" si="14"/>
        <v>0</v>
      </c>
      <c r="AU6" s="27" t="e">
        <f t="shared" si="15"/>
        <v>#DIV/0!</v>
      </c>
      <c r="AW6" s="29"/>
      <c r="AX6" s="30"/>
      <c r="AY6" s="30"/>
      <c r="AZ6" s="30"/>
      <c r="BA6" s="29"/>
    </row>
  </sheetData>
  <autoFilter ref="A1:AU6" xr:uid="{00000000-0009-0000-0000-000001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KSIOP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urb1u001 urb1u001</dc:creator>
  <cp:lastModifiedBy>Benjamin COPPENS BIOUX</cp:lastModifiedBy>
  <dcterms:created xsi:type="dcterms:W3CDTF">2022-10-25T13:06:10Z</dcterms:created>
  <dcterms:modified xsi:type="dcterms:W3CDTF">2025-10-13T15:47:28Z</dcterms:modified>
</cp:coreProperties>
</file>